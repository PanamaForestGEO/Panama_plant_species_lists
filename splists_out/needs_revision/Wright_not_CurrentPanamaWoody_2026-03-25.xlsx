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<sst xmlns="http://schemas.openxmlformats.org/spreadsheetml/2006/main" count="1668" uniqueCount="393">
  <si>
    <t xml:space="preserve">binomialorig</t>
  </si>
  <si>
    <t xml:space="preserve">sp4</t>
  </si>
  <si>
    <t xml:space="preserve">sp6</t>
  </si>
  <si>
    <t xml:space="preserve">deciduous</t>
  </si>
  <si>
    <t xml:space="preserve">oldname</t>
  </si>
  <si>
    <t xml:space="preserve">climber</t>
  </si>
  <si>
    <t xml:space="preserve">free</t>
  </si>
  <si>
    <t xml:space="preserve">liana</t>
  </si>
  <si>
    <t xml:space="preserve">vine</t>
  </si>
  <si>
    <t xml:space="preserve">shrub</t>
  </si>
  <si>
    <t xml:space="preserve">understory</t>
  </si>
  <si>
    <t xml:space="preserve">midstory</t>
  </si>
  <si>
    <t xml:space="preserve">tree</t>
  </si>
  <si>
    <t xml:space="preserve">herb</t>
  </si>
  <si>
    <t xml:space="preserve">epiphyte</t>
  </si>
  <si>
    <t xml:space="preserve">hemiepiphyte</t>
  </si>
  <si>
    <t xml:space="preserve">parasite</t>
  </si>
  <si>
    <t xml:space="preserve">Idlevel</t>
  </si>
  <si>
    <t xml:space="preserve">orig_family</t>
  </si>
  <si>
    <t xml:space="preserve">orig_genus</t>
  </si>
  <si>
    <t xml:space="preserve">orig_species</t>
  </si>
  <si>
    <t xml:space="preserve">orig_infraspecies_rank</t>
  </si>
  <si>
    <t xml:space="preserve">orig_infraspecies</t>
  </si>
  <si>
    <t xml:space="preserve">orig_author</t>
  </si>
  <si>
    <t xml:space="preserve">orig_name</t>
  </si>
  <si>
    <t xml:space="preserve">orig_binomial</t>
  </si>
  <si>
    <t xml:space="preserve">wcvp_matched_name</t>
  </si>
  <si>
    <t xml:space="preserve">wcvp_matched_authors</t>
  </si>
  <si>
    <t xml:space="preserve">wcvp_matched_rank</t>
  </si>
  <si>
    <t xml:space="preserve">wcvp_matched_status</t>
  </si>
  <si>
    <t xml:space="preserve">wcvp_matched_plant_name_id</t>
  </si>
  <si>
    <t xml:space="preserve">wcvp_matched_ipni_id</t>
  </si>
  <si>
    <t xml:space="preserve">match_similarity</t>
  </si>
  <si>
    <t xml:space="preserve">wcvp_accepted_plant_name_id</t>
  </si>
  <si>
    <t xml:space="preserve">wcvp_accepted_powo_id</t>
  </si>
  <si>
    <t xml:space="preserve">wcvp_accepted_ipni_id</t>
  </si>
  <si>
    <t xml:space="preserve">wcvp_accepted_name</t>
  </si>
  <si>
    <t xml:space="preserve">wcvp_accepted_name_genus</t>
  </si>
  <si>
    <t xml:space="preserve">wcvp_accepted_name_species</t>
  </si>
  <si>
    <t xml:space="preserve">wcvp_accepted_name_rank</t>
  </si>
  <si>
    <t xml:space="preserve">wcvp_accepted_family</t>
  </si>
  <si>
    <t xml:space="preserve">wcvp_accepted_name_infraspecific_rank</t>
  </si>
  <si>
    <t xml:space="preserve">wcvp_accepted_name_infraspecies</t>
  </si>
  <si>
    <t xml:space="preserve">wcvp_accepted_author</t>
  </si>
  <si>
    <t xml:space="preserve">wcvp_accepted_authority</t>
  </si>
  <si>
    <t xml:space="preserve">wcvp_lifeform_description</t>
  </si>
  <si>
    <t xml:space="preserve">origmatches</t>
  </si>
  <si>
    <t xml:space="preserve">current_name</t>
  </si>
  <si>
    <t xml:space="preserve">current_author</t>
  </si>
  <si>
    <t xml:space="preserve">current_family</t>
  </si>
  <si>
    <t xml:space="preserve">orig_name_changed_wcvp</t>
  </si>
  <si>
    <t xml:space="preserve">wcvp_accepted_duplicated</t>
  </si>
  <si>
    <t xml:space="preserve">sp6match</t>
  </si>
  <si>
    <t xml:space="preserve">no_woody_match</t>
  </si>
  <si>
    <t xml:space="preserve">lifeform_wright</t>
  </si>
  <si>
    <t xml:space="preserve">might_be_woody</t>
  </si>
  <si>
    <t xml:space="preserve">Acacia acanthophylla</t>
  </si>
  <si>
    <t xml:space="preserve">ACAA</t>
  </si>
  <si>
    <t xml:space="preserve">acacac</t>
  </si>
  <si>
    <t xml:space="preserve">E</t>
  </si>
  <si>
    <t xml:space="preserve">NA</t>
  </si>
  <si>
    <t xml:space="preserve">1</t>
  </si>
  <si>
    <t xml:space="preserve">0</t>
  </si>
  <si>
    <t xml:space="preserve">species</t>
  </si>
  <si>
    <t xml:space="preserve">Fabaceae</t>
  </si>
  <si>
    <t xml:space="preserve">Acacia</t>
  </si>
  <si>
    <t xml:space="preserve">acanthophylla</t>
  </si>
  <si>
    <t xml:space="preserve">(Britton &amp; Rose) Standl.</t>
  </si>
  <si>
    <t xml:space="preserve">Species</t>
  </si>
  <si>
    <t xml:space="preserve">Synonym</t>
  </si>
  <si>
    <t xml:space="preserve">380-2</t>
  </si>
  <si>
    <t xml:space="preserve">518260-1</t>
  </si>
  <si>
    <t xml:space="preserve">Senegalia hayesii</t>
  </si>
  <si>
    <t xml:space="preserve">Senegalia</t>
  </si>
  <si>
    <t xml:space="preserve">hayesii</t>
  </si>
  <si>
    <t xml:space="preserve">Britton &amp; Rose</t>
  </si>
  <si>
    <t xml:space="preserve">(Benth.) Britton &amp; Rose</t>
  </si>
  <si>
    <t xml:space="preserve">scrambling shrub or tree</t>
  </si>
  <si>
    <t xml:space="preserve">LIANA, CLIMBER</t>
  </si>
  <si>
    <t xml:space="preserve">Alsophila cuspidata</t>
  </si>
  <si>
    <t xml:space="preserve">NEPC</t>
  </si>
  <si>
    <t xml:space="preserve">Nephelea-cuspidata</t>
  </si>
  <si>
    <t xml:space="preserve">Cyatheaceae</t>
  </si>
  <si>
    <t xml:space="preserve">Alsophila</t>
  </si>
  <si>
    <t xml:space="preserve">cuspidata</t>
  </si>
  <si>
    <t xml:space="preserve">(Kunze) D.S.Conant</t>
  </si>
  <si>
    <t xml:space="preserve">Accepted</t>
  </si>
  <si>
    <t xml:space="preserve">9954-2</t>
  </si>
  <si>
    <t xml:space="preserve">D.S.Conant</t>
  </si>
  <si>
    <t xml:space="preserve">UNDERSTORY, FREE</t>
  </si>
  <si>
    <t xml:space="preserve">Anthurium NA</t>
  </si>
  <si>
    <t xml:space="preserve">ANT5</t>
  </si>
  <si>
    <t xml:space="preserve">genus</t>
  </si>
  <si>
    <t xml:space="preserve">Aracea</t>
  </si>
  <si>
    <t xml:space="preserve">Anthurium</t>
  </si>
  <si>
    <t xml:space="preserve">Schott</t>
  </si>
  <si>
    <t xml:space="preserve">Genus</t>
  </si>
  <si>
    <t xml:space="preserve">329747-2</t>
  </si>
  <si>
    <t xml:space="preserve">Araceae</t>
  </si>
  <si>
    <t xml:space="preserve">CLIMBER, FREE</t>
  </si>
  <si>
    <t xml:space="preserve">Bonamia maripoide</t>
  </si>
  <si>
    <t xml:space="preserve">BONM</t>
  </si>
  <si>
    <t xml:space="preserve">bonama</t>
  </si>
  <si>
    <t xml:space="preserve">?</t>
  </si>
  <si>
    <t xml:space="preserve">Convolvulaceae</t>
  </si>
  <si>
    <t xml:space="preserve">Bonamia</t>
  </si>
  <si>
    <t xml:space="preserve">maripoide</t>
  </si>
  <si>
    <t xml:space="preserve">Bonamia maripoides</t>
  </si>
  <si>
    <t xml:space="preserve">Hallier f.</t>
  </si>
  <si>
    <t xml:space="preserve">265435-1</t>
  </si>
  <si>
    <t xml:space="preserve">maripoides</t>
  </si>
  <si>
    <t xml:space="preserve">climbing shrub</t>
  </si>
  <si>
    <t xml:space="preserve">CLIMBER, VINE</t>
  </si>
  <si>
    <t xml:space="preserve">Chomelia barbellata</t>
  </si>
  <si>
    <t xml:space="preserve">CHOB</t>
  </si>
  <si>
    <t xml:space="preserve">chomat</t>
  </si>
  <si>
    <t xml:space="preserve">Chomelia-atlantica</t>
  </si>
  <si>
    <t xml:space="preserve">Rubiaceae</t>
  </si>
  <si>
    <t xml:space="preserve">Chomelia</t>
  </si>
  <si>
    <t xml:space="preserve">barbellata</t>
  </si>
  <si>
    <t xml:space="preserve">Standl.</t>
  </si>
  <si>
    <t xml:space="preserve">57052-2</t>
  </si>
  <si>
    <t xml:space="preserve">746667-1</t>
  </si>
  <si>
    <t xml:space="preserve">Chomelia tenuiflora</t>
  </si>
  <si>
    <t xml:space="preserve">tenuiflora</t>
  </si>
  <si>
    <t xml:space="preserve">Benth.</t>
  </si>
  <si>
    <t xml:space="preserve">shrub or tree</t>
  </si>
  <si>
    <t xml:space="preserve">Chromolaena odorata</t>
  </si>
  <si>
    <t xml:space="preserve">CHRO</t>
  </si>
  <si>
    <t xml:space="preserve">chr4od</t>
  </si>
  <si>
    <t xml:space="preserve">Asteraceae</t>
  </si>
  <si>
    <t xml:space="preserve">Chromolaena</t>
  </si>
  <si>
    <t xml:space="preserve">odorata</t>
  </si>
  <si>
    <t xml:space="preserve">(L.) R.M.King &amp; H.Rob.</t>
  </si>
  <si>
    <t xml:space="preserve">57443-2</t>
  </si>
  <si>
    <t xml:space="preserve">R.M.King &amp; H.Rob.</t>
  </si>
  <si>
    <t xml:space="preserve">perennial</t>
  </si>
  <si>
    <t xml:space="preserve">SHRUB, FREE</t>
  </si>
  <si>
    <t xml:space="preserve">Chusquea simpliciflora</t>
  </si>
  <si>
    <t xml:space="preserve">CHUS</t>
  </si>
  <si>
    <t xml:space="preserve">chussi</t>
  </si>
  <si>
    <t xml:space="preserve">Poaceae</t>
  </si>
  <si>
    <t xml:space="preserve">Chusquea</t>
  </si>
  <si>
    <t xml:space="preserve">simpliciflora</t>
  </si>
  <si>
    <t xml:space="preserve">Munro</t>
  </si>
  <si>
    <t xml:space="preserve">274641-2</t>
  </si>
  <si>
    <t xml:space="preserve">bamboo</t>
  </si>
  <si>
    <t xml:space="preserve">Clusia peninsularis</t>
  </si>
  <si>
    <t xml:space="preserve">CLUP</t>
  </si>
  <si>
    <t xml:space="preserve">Clusia-peninsulai</t>
  </si>
  <si>
    <t xml:space="preserve">Clusiaceae</t>
  </si>
  <si>
    <t xml:space="preserve">Clusia</t>
  </si>
  <si>
    <t xml:space="preserve">peninsularis</t>
  </si>
  <si>
    <t xml:space="preserve">Clusia peninsulae</t>
  </si>
  <si>
    <t xml:space="preserve">Hammel</t>
  </si>
  <si>
    <t xml:space="preserve">77117050-1</t>
  </si>
  <si>
    <t xml:space="preserve">peninsulae</t>
  </si>
  <si>
    <t xml:space="preserve">CLIMBER, FREE, HEMIEPIPHYTE</t>
  </si>
  <si>
    <t xml:space="preserve">Columnea billbergiana</t>
  </si>
  <si>
    <t xml:space="preserve">COLB</t>
  </si>
  <si>
    <t xml:space="preserve">Gesneriaceae</t>
  </si>
  <si>
    <t xml:space="preserve">Columnea</t>
  </si>
  <si>
    <t xml:space="preserve">billbergiana</t>
  </si>
  <si>
    <t xml:space="preserve">Beurl.</t>
  </si>
  <si>
    <t xml:space="preserve">378785-1</t>
  </si>
  <si>
    <t xml:space="preserve">Columnea purpurata</t>
  </si>
  <si>
    <t xml:space="preserve">COLP</t>
  </si>
  <si>
    <t xml:space="preserve">purpurata</t>
  </si>
  <si>
    <t xml:space="preserve">Hanst.</t>
  </si>
  <si>
    <t xml:space="preserve">378968-1</t>
  </si>
  <si>
    <t xml:space="preserve">epiphytic subshrub</t>
  </si>
  <si>
    <t xml:space="preserve">Coussapoa asperifolia</t>
  </si>
  <si>
    <t xml:space="preserve">COUM</t>
  </si>
  <si>
    <t xml:space="preserve">Coussapoa-magnifolia</t>
  </si>
  <si>
    <t xml:space="preserve">Cecropiaceae</t>
  </si>
  <si>
    <t xml:space="preserve">Coussapoa</t>
  </si>
  <si>
    <t xml:space="preserve">asperifolia</t>
  </si>
  <si>
    <t xml:space="preserve">Trécul</t>
  </si>
  <si>
    <t xml:space="preserve">851268-1</t>
  </si>
  <si>
    <t xml:space="preserve">Urticaceae</t>
  </si>
  <si>
    <t xml:space="preserve">Cyathea bicrenata</t>
  </si>
  <si>
    <t xml:space="preserve">TRI5</t>
  </si>
  <si>
    <t xml:space="preserve">Trichopteris-trichiata</t>
  </si>
  <si>
    <t xml:space="preserve">Cyathea</t>
  </si>
  <si>
    <t xml:space="preserve">bicrenata</t>
  </si>
  <si>
    <t xml:space="preserve">Liebm.</t>
  </si>
  <si>
    <t xml:space="preserve">73125-2</t>
  </si>
  <si>
    <t xml:space="preserve">Cyathea microdonta</t>
  </si>
  <si>
    <t xml:space="preserve">TRI4</t>
  </si>
  <si>
    <t xml:space="preserve">Trichopteris-microdonta</t>
  </si>
  <si>
    <t xml:space="preserve">microdonta</t>
  </si>
  <si>
    <t xml:space="preserve">(Desv.) Domin</t>
  </si>
  <si>
    <t xml:space="preserve">73288-2</t>
  </si>
  <si>
    <t xml:space="preserve">Domin</t>
  </si>
  <si>
    <t xml:space="preserve">Dalbergia brownei</t>
  </si>
  <si>
    <t xml:space="preserve">DALB</t>
  </si>
  <si>
    <t xml:space="preserve">Fabaceae-Papilionoideae</t>
  </si>
  <si>
    <t xml:space="preserve">Dalbergia</t>
  </si>
  <si>
    <t xml:space="preserve">brownei</t>
  </si>
  <si>
    <t xml:space="preserve">(Jacq.) Schinz</t>
  </si>
  <si>
    <t xml:space="preserve">75919-2</t>
  </si>
  <si>
    <t xml:space="preserve">Schinz</t>
  </si>
  <si>
    <t xml:space="preserve">Desmodium axillare</t>
  </si>
  <si>
    <t xml:space="preserve">DESA</t>
  </si>
  <si>
    <t xml:space="preserve">desmax</t>
  </si>
  <si>
    <t xml:space="preserve">Desmodium</t>
  </si>
  <si>
    <t xml:space="preserve">axillare</t>
  </si>
  <si>
    <t xml:space="preserve">(Sw.) DC.</t>
  </si>
  <si>
    <t xml:space="preserve">491595-1</t>
  </si>
  <si>
    <t xml:space="preserve">DC.</t>
  </si>
  <si>
    <t xml:space="preserve">subshrub</t>
  </si>
  <si>
    <t xml:space="preserve">Desmodium heterocarpon</t>
  </si>
  <si>
    <t xml:space="preserve">DESH</t>
  </si>
  <si>
    <t xml:space="preserve">desmhe</t>
  </si>
  <si>
    <t xml:space="preserve">D-NOVEMBER</t>
  </si>
  <si>
    <t xml:space="preserve">heterocarpon</t>
  </si>
  <si>
    <t xml:space="preserve">(L.) DC.</t>
  </si>
  <si>
    <t xml:space="preserve">134185-3</t>
  </si>
  <si>
    <t xml:space="preserve">77187416-1</t>
  </si>
  <si>
    <t xml:space="preserve">Grona heterocarpos</t>
  </si>
  <si>
    <t xml:space="preserve">Grona</t>
  </si>
  <si>
    <t xml:space="preserve">heterocarpos</t>
  </si>
  <si>
    <t xml:space="preserve">H.Ohashi &amp; K.Ohashi</t>
  </si>
  <si>
    <t xml:space="preserve">(L.) H.Ohashi &amp; K.Ohashi</t>
  </si>
  <si>
    <t xml:space="preserve">subshrub or shrub</t>
  </si>
  <si>
    <t xml:space="preserve">Ficus dugandii</t>
  </si>
  <si>
    <t xml:space="preserve">FIDU</t>
  </si>
  <si>
    <t xml:space="preserve">ficudu</t>
  </si>
  <si>
    <t xml:space="preserve">DB</t>
  </si>
  <si>
    <t xml:space="preserve">Moraceae</t>
  </si>
  <si>
    <t xml:space="preserve">Ficus</t>
  </si>
  <si>
    <t xml:space="preserve">dugandii</t>
  </si>
  <si>
    <t xml:space="preserve">104507-2</t>
  </si>
  <si>
    <t xml:space="preserve">Guarea polygama</t>
  </si>
  <si>
    <t xml:space="preserve">GUAP</t>
  </si>
  <si>
    <t xml:space="preserve">Meliaceae</t>
  </si>
  <si>
    <t xml:space="preserve">Guarea</t>
  </si>
  <si>
    <t xml:space="preserve">polygama</t>
  </si>
  <si>
    <t xml:space="preserve">Hoffmannia longipetiolata</t>
  </si>
  <si>
    <t xml:space="preserve">HOFW</t>
  </si>
  <si>
    <t xml:space="preserve">Hoffmannia-woodsonii</t>
  </si>
  <si>
    <t xml:space="preserve">Hoffmannia</t>
  </si>
  <si>
    <t xml:space="preserve">longipetiolata</t>
  </si>
  <si>
    <t xml:space="preserve">Hoffmannia longepetiolata</t>
  </si>
  <si>
    <t xml:space="preserve">Pol.</t>
  </si>
  <si>
    <t xml:space="preserve">753217-1</t>
  </si>
  <si>
    <t xml:space="preserve">longepetiolata</t>
  </si>
  <si>
    <t xml:space="preserve">Lasiacis sorghoidea</t>
  </si>
  <si>
    <t xml:space="preserve">LASS</t>
  </si>
  <si>
    <t xml:space="preserve">Lasiacis</t>
  </si>
  <si>
    <t xml:space="preserve">sorghoidea</t>
  </si>
  <si>
    <t xml:space="preserve">(Ham.) Hitchc. &amp; Chase</t>
  </si>
  <si>
    <t xml:space="preserve">135722-2</t>
  </si>
  <si>
    <t xml:space="preserve">135707-2</t>
  </si>
  <si>
    <t xml:space="preserve">Lasiacis maculata</t>
  </si>
  <si>
    <t xml:space="preserve">maculata</t>
  </si>
  <si>
    <t xml:space="preserve">Urb.</t>
  </si>
  <si>
    <t xml:space="preserve">(Aubl.) Urb.</t>
  </si>
  <si>
    <t xml:space="preserve">Lepidaploa canescens</t>
  </si>
  <si>
    <t xml:space="preserve">VERC</t>
  </si>
  <si>
    <t xml:space="preserve">lepica</t>
  </si>
  <si>
    <t xml:space="preserve">Vernonia-canescens;Veronica-arborescens</t>
  </si>
  <si>
    <t xml:space="preserve">Lepidaploa</t>
  </si>
  <si>
    <t xml:space="preserve">canescens</t>
  </si>
  <si>
    <t xml:space="preserve">(Kunth) H.Rob.</t>
  </si>
  <si>
    <t xml:space="preserve">948489-1</t>
  </si>
  <si>
    <t xml:space="preserve">H.Rob.</t>
  </si>
  <si>
    <t xml:space="preserve">scrambling shrub or liana</t>
  </si>
  <si>
    <t xml:space="preserve">Melochia nodiflora</t>
  </si>
  <si>
    <t xml:space="preserve">MELN</t>
  </si>
  <si>
    <t xml:space="preserve">Sterculiaceae</t>
  </si>
  <si>
    <t xml:space="preserve">Melochia</t>
  </si>
  <si>
    <t xml:space="preserve">nodiflora</t>
  </si>
  <si>
    <t xml:space="preserve">Sw.</t>
  </si>
  <si>
    <t xml:space="preserve">824514-1</t>
  </si>
  <si>
    <t xml:space="preserve">Malvaceae</t>
  </si>
  <si>
    <t xml:space="preserve">Myroxlyon balsamum</t>
  </si>
  <si>
    <t xml:space="preserve">MYRB</t>
  </si>
  <si>
    <t xml:space="preserve">Myroxlyon</t>
  </si>
  <si>
    <t xml:space="preserve">balsamum</t>
  </si>
  <si>
    <t xml:space="preserve">Myroxylon balsamum</t>
  </si>
  <si>
    <t xml:space="preserve">(L.) Harms</t>
  </si>
  <si>
    <t xml:space="preserve">166483-2</t>
  </si>
  <si>
    <t xml:space="preserve">Myroxylon</t>
  </si>
  <si>
    <t xml:space="preserve">Harms</t>
  </si>
  <si>
    <t xml:space="preserve">TREE, FREE</t>
  </si>
  <si>
    <t xml:space="preserve">Nectandra savannarum</t>
  </si>
  <si>
    <t xml:space="preserve">NECS</t>
  </si>
  <si>
    <t xml:space="preserve">Nectandra-savanna</t>
  </si>
  <si>
    <t xml:space="preserve">Lauraceae</t>
  </si>
  <si>
    <t xml:space="preserve">Nectandra</t>
  </si>
  <si>
    <t xml:space="preserve">savannarum</t>
  </si>
  <si>
    <t xml:space="preserve">(Standl. &amp; Steyerm.) C.K.Allen</t>
  </si>
  <si>
    <t xml:space="preserve">167943-2</t>
  </si>
  <si>
    <t xml:space="preserve">77158857-1</t>
  </si>
  <si>
    <t xml:space="preserve">Damburneya longicaudata</t>
  </si>
  <si>
    <t xml:space="preserve">Damburneya</t>
  </si>
  <si>
    <t xml:space="preserve">longicaudata</t>
  </si>
  <si>
    <t xml:space="preserve">Trofimov &amp; Rohwer</t>
  </si>
  <si>
    <t xml:space="preserve">(Lundell) Trofimov &amp; Rohwer</t>
  </si>
  <si>
    <t xml:space="preserve">Parmentiereifera cereifera</t>
  </si>
  <si>
    <t xml:space="preserve">PARC</t>
  </si>
  <si>
    <t xml:space="preserve">Bignoniaceae</t>
  </si>
  <si>
    <t xml:space="preserve">Parmentiereifera</t>
  </si>
  <si>
    <t xml:space="preserve">cereifera</t>
  </si>
  <si>
    <t xml:space="preserve">Parmentiera cereifera</t>
  </si>
  <si>
    <t xml:space="preserve">Seem.</t>
  </si>
  <si>
    <t xml:space="preserve">110245-1</t>
  </si>
  <si>
    <t xml:space="preserve">Parmentiera</t>
  </si>
  <si>
    <t xml:space="preserve">Philodendron fragrantissimum</t>
  </si>
  <si>
    <t xml:space="preserve">PHIF</t>
  </si>
  <si>
    <t xml:space="preserve">philfr</t>
  </si>
  <si>
    <t xml:space="preserve">Philodendron</t>
  </si>
  <si>
    <t xml:space="preserve">fragrantissimum</t>
  </si>
  <si>
    <t xml:space="preserve">(Hook.) G.Don</t>
  </si>
  <si>
    <t xml:space="preserve">87769-1</t>
  </si>
  <si>
    <t xml:space="preserve">G.Don</t>
  </si>
  <si>
    <t xml:space="preserve">Philodendron guttiferum</t>
  </si>
  <si>
    <t xml:space="preserve">PHIG</t>
  </si>
  <si>
    <t xml:space="preserve">guttiferum</t>
  </si>
  <si>
    <t xml:space="preserve">Kunth</t>
  </si>
  <si>
    <t xml:space="preserve">87787-1</t>
  </si>
  <si>
    <t xml:space="preserve">Philodendron hederaceum</t>
  </si>
  <si>
    <t xml:space="preserve">PHIS</t>
  </si>
  <si>
    <t xml:space="preserve">Philodendron-scandens</t>
  </si>
  <si>
    <t xml:space="preserve">hederaceum</t>
  </si>
  <si>
    <t xml:space="preserve">(Jacq.) Schott</t>
  </si>
  <si>
    <t xml:space="preserve">87797-1</t>
  </si>
  <si>
    <t xml:space="preserve">Philodendron inaequilaterum</t>
  </si>
  <si>
    <t xml:space="preserve">PHI1</t>
  </si>
  <si>
    <t xml:space="preserve">inaequilaterum</t>
  </si>
  <si>
    <t xml:space="preserve">87815-1</t>
  </si>
  <si>
    <t xml:space="preserve">Philodendron pterotum</t>
  </si>
  <si>
    <t xml:space="preserve">PHI2</t>
  </si>
  <si>
    <t xml:space="preserve">pterotum</t>
  </si>
  <si>
    <t xml:space="preserve">K.Koch &amp; Augustin</t>
  </si>
  <si>
    <t xml:space="preserve">314450-2</t>
  </si>
  <si>
    <t xml:space="preserve">Philodendron sagittifolium</t>
  </si>
  <si>
    <t xml:space="preserve">PHI3</t>
  </si>
  <si>
    <t xml:space="preserve">sagittifolium</t>
  </si>
  <si>
    <t xml:space="preserve">87989-1</t>
  </si>
  <si>
    <t xml:space="preserve">Philodendron tripartitum</t>
  </si>
  <si>
    <t xml:space="preserve">PHIT</t>
  </si>
  <si>
    <t xml:space="preserve">tripartitum</t>
  </si>
  <si>
    <t xml:space="preserve">88045-1</t>
  </si>
  <si>
    <t xml:space="preserve">Polypodium crassifolium</t>
  </si>
  <si>
    <t xml:space="preserve">POLC</t>
  </si>
  <si>
    <t xml:space="preserve">Polypodium</t>
  </si>
  <si>
    <t xml:space="preserve">crassifolium</t>
  </si>
  <si>
    <t xml:space="preserve">L.</t>
  </si>
  <si>
    <t xml:space="preserve">206835-2</t>
  </si>
  <si>
    <t xml:space="preserve">170054-2</t>
  </si>
  <si>
    <t xml:space="preserve">Niphidium crassifolium</t>
  </si>
  <si>
    <t xml:space="preserve">Niphidium</t>
  </si>
  <si>
    <t xml:space="preserve">Polypodiaceae</t>
  </si>
  <si>
    <t xml:space="preserve">Lellinger</t>
  </si>
  <si>
    <t xml:space="preserve">(L.) Lellinger</t>
  </si>
  <si>
    <t xml:space="preserve">Rhipsalis cassytha</t>
  </si>
  <si>
    <t xml:space="preserve">RHIC</t>
  </si>
  <si>
    <t xml:space="preserve">Rhipsalis</t>
  </si>
  <si>
    <t xml:space="preserve">cassytha</t>
  </si>
  <si>
    <t xml:space="preserve">Gaertn.</t>
  </si>
  <si>
    <t xml:space="preserve">Illegitimate</t>
  </si>
  <si>
    <t xml:space="preserve">219250-2</t>
  </si>
  <si>
    <t xml:space="preserve">Rhipsalis baccifera</t>
  </si>
  <si>
    <t xml:space="preserve">baccifera</t>
  </si>
  <si>
    <t xml:space="preserve">Cactaceae</t>
  </si>
  <si>
    <t xml:space="preserve">Stearn</t>
  </si>
  <si>
    <t xml:space="preserve">(J.S.Muell.) Stearn</t>
  </si>
  <si>
    <t xml:space="preserve">succulent epiphyte or lithophyte</t>
  </si>
  <si>
    <t xml:space="preserve">Selenicereus pteranthus</t>
  </si>
  <si>
    <t xml:space="preserve">SELP</t>
  </si>
  <si>
    <t xml:space="preserve">Selenicereus</t>
  </si>
  <si>
    <t xml:space="preserve">pteranthus</t>
  </si>
  <si>
    <t xml:space="preserve">(Link ex A.Dietr.) Britton &amp; Rose</t>
  </si>
  <si>
    <t xml:space="preserve">232393-2</t>
  </si>
  <si>
    <t xml:space="preserve">Syngonium podophyllum</t>
  </si>
  <si>
    <t xml:space="preserve">SYNP</t>
  </si>
  <si>
    <t xml:space="preserve">Syngonium</t>
  </si>
  <si>
    <t xml:space="preserve">podophyllum</t>
  </si>
  <si>
    <t xml:space="preserve">89152-1</t>
  </si>
  <si>
    <t xml:space="preserve">Urena lobata</t>
  </si>
  <si>
    <t xml:space="preserve">URLO</t>
  </si>
  <si>
    <t xml:space="preserve">urenlo</t>
  </si>
  <si>
    <t xml:space="preserve">Urena</t>
  </si>
  <si>
    <t xml:space="preserve">lobata</t>
  </si>
  <si>
    <t xml:space="preserve">564786-1</t>
  </si>
  <si>
    <t xml:space="preserve">Column name</t>
  </si>
  <si>
    <t xml:space="preserve">original wright columns</t>
  </si>
  <si>
    <t xml:space="preserve">wcvp product</t>
  </si>
  <si>
    <t xml:space="preserve">If the species is in the current panama woody list</t>
  </si>
  <si>
    <t xml:space="preserve">Summary of wright lifeform from the lifeform columns. Adding just the name of the column with a value of 1  in uppercase</t>
  </si>
  <si>
    <t xml:space="preserve">True f the lifeform wright is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</si>
</sst>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D1" activeCellId="0" sqref="BD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.16"/>
    <col collapsed="false" customWidth="true" hidden="false" outlineLevel="0" max="46" min="46" style="0" width="33.8"/>
    <col collapsed="false" customWidth="true" hidden="false" outlineLevel="0" max="54" min="54" style="0" width="22.25"/>
    <col collapsed="false" customWidth="true" hidden="false" outlineLevel="0" max="55" min="55" style="0" width="18.64"/>
    <col collapsed="false" customWidth="true" hidden="false" outlineLevel="0" max="56" min="56" style="0" width="34.5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customFormat="false" ht="15" hidden="false" customHeight="false" outlineLevel="0" collapsed="false">
      <c r="A2" s="0" t="s">
        <v>56</v>
      </c>
      <c r="B2" s="0" t="s">
        <v>57</v>
      </c>
      <c r="C2" s="0" t="s">
        <v>58</v>
      </c>
      <c r="D2" s="0" t="s">
        <v>59</v>
      </c>
      <c r="E2" s="0" t="s">
        <v>60</v>
      </c>
      <c r="F2" s="0" t="s">
        <v>61</v>
      </c>
      <c r="G2" s="0" t="s">
        <v>62</v>
      </c>
      <c r="H2" s="0" t="s">
        <v>61</v>
      </c>
      <c r="I2" s="0" t="s">
        <v>62</v>
      </c>
      <c r="J2" s="0" t="s">
        <v>62</v>
      </c>
      <c r="K2" s="0" t="s">
        <v>62</v>
      </c>
      <c r="L2" s="0" t="s">
        <v>62</v>
      </c>
      <c r="M2" s="0" t="s">
        <v>62</v>
      </c>
      <c r="N2" s="0" t="s">
        <v>62</v>
      </c>
      <c r="O2" s="0" t="s">
        <v>62</v>
      </c>
      <c r="P2" s="0" t="s">
        <v>62</v>
      </c>
      <c r="Q2" s="0" t="s">
        <v>62</v>
      </c>
      <c r="R2" s="0" t="s">
        <v>63</v>
      </c>
      <c r="S2" s="0" t="s">
        <v>64</v>
      </c>
      <c r="T2" s="0" t="s">
        <v>65</v>
      </c>
      <c r="U2" s="0" t="s">
        <v>66</v>
      </c>
      <c r="Y2" s="0" t="s">
        <v>56</v>
      </c>
      <c r="Z2" s="0" t="s">
        <v>56</v>
      </c>
      <c r="AA2" s="0" t="s">
        <v>56</v>
      </c>
      <c r="AB2" s="0" t="s">
        <v>67</v>
      </c>
      <c r="AC2" s="0" t="s">
        <v>68</v>
      </c>
      <c r="AD2" s="0" t="s">
        <v>69</v>
      </c>
      <c r="AE2" s="0" t="n">
        <v>2611095</v>
      </c>
      <c r="AF2" s="0" t="s">
        <v>70</v>
      </c>
      <c r="AG2" s="0" t="n">
        <v>1</v>
      </c>
      <c r="AH2" s="0" t="n">
        <v>2590669</v>
      </c>
      <c r="AI2" s="0" t="s">
        <v>71</v>
      </c>
      <c r="AJ2" s="0" t="s">
        <v>71</v>
      </c>
      <c r="AK2" s="0" t="s">
        <v>72</v>
      </c>
      <c r="AL2" s="0" t="s">
        <v>73</v>
      </c>
      <c r="AM2" s="0" t="s">
        <v>74</v>
      </c>
      <c r="AN2" s="0" t="s">
        <v>68</v>
      </c>
      <c r="AO2" s="0" t="s">
        <v>64</v>
      </c>
      <c r="AR2" s="0" t="s">
        <v>75</v>
      </c>
      <c r="AS2" s="0" t="s">
        <v>76</v>
      </c>
      <c r="AT2" s="0" t="s">
        <v>77</v>
      </c>
      <c r="AU2" s="2" t="b">
        <f aca="false">TRUE()</f>
        <v>1</v>
      </c>
      <c r="AV2" s="0" t="s">
        <v>56</v>
      </c>
      <c r="AX2" s="0" t="s">
        <v>64</v>
      </c>
      <c r="AY2" s="2" t="b">
        <f aca="false">FALSE()</f>
        <v>0</v>
      </c>
      <c r="AZ2" s="2" t="b">
        <f aca="false">TRUE()</f>
        <v>1</v>
      </c>
      <c r="BB2" s="2" t="b">
        <f aca="false">TRUE()</f>
        <v>1</v>
      </c>
      <c r="BC2" s="0" t="s">
        <v>78</v>
      </c>
      <c r="BD2" s="2" t="b">
        <f aca="false">TRUE()</f>
        <v>1</v>
      </c>
    </row>
    <row r="3" customFormat="false" ht="15" hidden="false" customHeight="false" outlineLevel="0" collapsed="false">
      <c r="A3" s="0" t="s">
        <v>79</v>
      </c>
      <c r="B3" s="0" t="s">
        <v>80</v>
      </c>
      <c r="D3" s="0" t="s">
        <v>59</v>
      </c>
      <c r="E3" s="0" t="s">
        <v>81</v>
      </c>
      <c r="F3" s="0" t="s">
        <v>62</v>
      </c>
      <c r="G3" s="0" t="s">
        <v>61</v>
      </c>
      <c r="H3" s="0" t="s">
        <v>62</v>
      </c>
      <c r="I3" s="0" t="s">
        <v>62</v>
      </c>
      <c r="J3" s="0" t="s">
        <v>62</v>
      </c>
      <c r="K3" s="0" t="s">
        <v>61</v>
      </c>
      <c r="L3" s="0" t="s">
        <v>62</v>
      </c>
      <c r="M3" s="0" t="s">
        <v>62</v>
      </c>
      <c r="N3" s="0" t="s">
        <v>62</v>
      </c>
      <c r="O3" s="0" t="s">
        <v>62</v>
      </c>
      <c r="P3" s="0" t="s">
        <v>62</v>
      </c>
      <c r="Q3" s="0" t="s">
        <v>62</v>
      </c>
      <c r="R3" s="0" t="s">
        <v>63</v>
      </c>
      <c r="S3" s="0" t="s">
        <v>82</v>
      </c>
      <c r="T3" s="0" t="s">
        <v>83</v>
      </c>
      <c r="U3" s="0" t="s">
        <v>84</v>
      </c>
      <c r="Y3" s="0" t="s">
        <v>79</v>
      </c>
      <c r="Z3" s="0" t="s">
        <v>79</v>
      </c>
      <c r="AA3" s="0" t="s">
        <v>79</v>
      </c>
      <c r="AB3" s="0" t="s">
        <v>85</v>
      </c>
      <c r="AC3" s="0" t="s">
        <v>68</v>
      </c>
      <c r="AD3" s="0" t="s">
        <v>86</v>
      </c>
      <c r="AE3" s="0" t="n">
        <v>3158898</v>
      </c>
      <c r="AF3" s="0" t="s">
        <v>87</v>
      </c>
      <c r="AG3" s="0" t="n">
        <v>1</v>
      </c>
      <c r="AH3" s="0" t="n">
        <v>3158898</v>
      </c>
      <c r="AI3" s="0" t="s">
        <v>87</v>
      </c>
      <c r="AJ3" s="0" t="s">
        <v>87</v>
      </c>
      <c r="AK3" s="0" t="s">
        <v>79</v>
      </c>
      <c r="AL3" s="0" t="s">
        <v>83</v>
      </c>
      <c r="AM3" s="0" t="s">
        <v>84</v>
      </c>
      <c r="AN3" s="0" t="s">
        <v>68</v>
      </c>
      <c r="AO3" s="0" t="s">
        <v>82</v>
      </c>
      <c r="AR3" s="0" t="s">
        <v>88</v>
      </c>
      <c r="AS3" s="0" t="s">
        <v>85</v>
      </c>
      <c r="AU3" s="2" t="b">
        <f aca="false">TRUE()</f>
        <v>1</v>
      </c>
      <c r="AV3" s="0" t="s">
        <v>79</v>
      </c>
      <c r="AW3" s="0" t="s">
        <v>88</v>
      </c>
      <c r="AX3" s="0" t="s">
        <v>82</v>
      </c>
      <c r="AY3" s="2" t="b">
        <f aca="false">FALSE()</f>
        <v>0</v>
      </c>
      <c r="AZ3" s="2" t="b">
        <f aca="false">FALSE()</f>
        <v>0</v>
      </c>
      <c r="BB3" s="2" t="b">
        <f aca="false">TRUE()</f>
        <v>1</v>
      </c>
      <c r="BC3" s="0" t="s">
        <v>89</v>
      </c>
      <c r="BD3" s="2" t="b">
        <f aca="false">TRUE()</f>
        <v>1</v>
      </c>
    </row>
    <row r="4" customFormat="false" ht="15" hidden="false" customHeight="false" outlineLevel="0" collapsed="false">
      <c r="A4" s="0" t="s">
        <v>90</v>
      </c>
      <c r="B4" s="0" t="s">
        <v>91</v>
      </c>
      <c r="D4" s="0" t="s">
        <v>60</v>
      </c>
      <c r="E4" s="0" t="s">
        <v>60</v>
      </c>
      <c r="F4" s="0" t="s">
        <v>60</v>
      </c>
      <c r="G4" s="0" t="s">
        <v>60</v>
      </c>
      <c r="H4" s="0" t="s">
        <v>62</v>
      </c>
      <c r="I4" s="0" t="s">
        <v>62</v>
      </c>
      <c r="J4" s="0" t="s">
        <v>62</v>
      </c>
      <c r="K4" s="0" t="s">
        <v>62</v>
      </c>
      <c r="L4" s="0" t="s">
        <v>62</v>
      </c>
      <c r="M4" s="0" t="s">
        <v>62</v>
      </c>
      <c r="N4" s="0" t="s">
        <v>62</v>
      </c>
      <c r="O4" s="0" t="s">
        <v>62</v>
      </c>
      <c r="P4" s="0" t="s">
        <v>62</v>
      </c>
      <c r="Q4" s="0" t="s">
        <v>62</v>
      </c>
      <c r="R4" s="0" t="s">
        <v>92</v>
      </c>
      <c r="S4" s="0" t="s">
        <v>93</v>
      </c>
      <c r="T4" s="0" t="s">
        <v>94</v>
      </c>
      <c r="U4" s="0" t="s">
        <v>60</v>
      </c>
      <c r="Y4" s="0" t="s">
        <v>90</v>
      </c>
      <c r="Z4" s="0" t="s">
        <v>94</v>
      </c>
      <c r="AA4" s="0" t="s">
        <v>94</v>
      </c>
      <c r="AB4" s="0" t="s">
        <v>95</v>
      </c>
      <c r="AC4" s="0" t="s">
        <v>96</v>
      </c>
      <c r="AD4" s="0" t="s">
        <v>86</v>
      </c>
      <c r="AE4" s="0" t="n">
        <v>10581</v>
      </c>
      <c r="AF4" s="0" t="s">
        <v>97</v>
      </c>
      <c r="AG4" s="0" t="n">
        <v>1</v>
      </c>
      <c r="AH4" s="0" t="n">
        <v>10581</v>
      </c>
      <c r="AI4" s="0" t="s">
        <v>97</v>
      </c>
      <c r="AJ4" s="0" t="s">
        <v>97</v>
      </c>
      <c r="AK4" s="0" t="s">
        <v>94</v>
      </c>
      <c r="AL4" s="0" t="s">
        <v>94</v>
      </c>
      <c r="AN4" s="0" t="s">
        <v>96</v>
      </c>
      <c r="AO4" s="0" t="s">
        <v>98</v>
      </c>
      <c r="AR4" s="0" t="s">
        <v>95</v>
      </c>
      <c r="AS4" s="0" t="s">
        <v>95</v>
      </c>
      <c r="AU4" s="2" t="b">
        <f aca="false">FALSE()</f>
        <v>0</v>
      </c>
      <c r="AV4" s="0" t="s">
        <v>94</v>
      </c>
      <c r="AW4" s="0" t="s">
        <v>95</v>
      </c>
      <c r="AX4" s="0" t="s">
        <v>98</v>
      </c>
      <c r="AY4" s="2" t="b">
        <f aca="false">TRUE()</f>
        <v>1</v>
      </c>
      <c r="AZ4" s="2" t="b">
        <f aca="false">FALSE()</f>
        <v>0</v>
      </c>
      <c r="BB4" s="2" t="b">
        <f aca="false">TRUE()</f>
        <v>1</v>
      </c>
      <c r="BC4" s="0" t="s">
        <v>99</v>
      </c>
      <c r="BD4" s="2" t="b">
        <f aca="false">FALSE()</f>
        <v>0</v>
      </c>
    </row>
    <row r="5" customFormat="false" ht="15" hidden="false" customHeight="false" outlineLevel="0" collapsed="false">
      <c r="A5" s="0" t="s">
        <v>100</v>
      </c>
      <c r="B5" s="0" t="s">
        <v>101</v>
      </c>
      <c r="C5" s="0" t="s">
        <v>102</v>
      </c>
      <c r="D5" s="0" t="s">
        <v>103</v>
      </c>
      <c r="E5" s="0" t="s">
        <v>60</v>
      </c>
      <c r="F5" s="0" t="s">
        <v>61</v>
      </c>
      <c r="G5" s="0" t="s">
        <v>62</v>
      </c>
      <c r="H5" s="0" t="s">
        <v>62</v>
      </c>
      <c r="I5" s="0" t="s">
        <v>61</v>
      </c>
      <c r="J5" s="0" t="s">
        <v>62</v>
      </c>
      <c r="K5" s="0" t="s">
        <v>62</v>
      </c>
      <c r="L5" s="0" t="s">
        <v>62</v>
      </c>
      <c r="M5" s="0" t="s">
        <v>62</v>
      </c>
      <c r="N5" s="0" t="s">
        <v>62</v>
      </c>
      <c r="O5" s="0" t="s">
        <v>62</v>
      </c>
      <c r="P5" s="0" t="s">
        <v>62</v>
      </c>
      <c r="Q5" s="0" t="s">
        <v>62</v>
      </c>
      <c r="R5" s="0" t="s">
        <v>63</v>
      </c>
      <c r="S5" s="0" t="s">
        <v>104</v>
      </c>
      <c r="T5" s="0" t="s">
        <v>105</v>
      </c>
      <c r="U5" s="0" t="s">
        <v>106</v>
      </c>
      <c r="Y5" s="0" t="s">
        <v>100</v>
      </c>
      <c r="Z5" s="0" t="s">
        <v>100</v>
      </c>
      <c r="AA5" s="0" t="s">
        <v>107</v>
      </c>
      <c r="AB5" s="0" t="s">
        <v>108</v>
      </c>
      <c r="AC5" s="0" t="s">
        <v>68</v>
      </c>
      <c r="AD5" s="0" t="s">
        <v>86</v>
      </c>
      <c r="AE5" s="0" t="n">
        <v>483378</v>
      </c>
      <c r="AF5" s="0" t="s">
        <v>109</v>
      </c>
      <c r="AG5" s="0" t="n">
        <v>0.944</v>
      </c>
      <c r="AH5" s="0" t="n">
        <v>483378</v>
      </c>
      <c r="AI5" s="0" t="s">
        <v>109</v>
      </c>
      <c r="AJ5" s="0" t="s">
        <v>109</v>
      </c>
      <c r="AK5" s="0" t="s">
        <v>107</v>
      </c>
      <c r="AL5" s="0" t="s">
        <v>105</v>
      </c>
      <c r="AM5" s="0" t="s">
        <v>110</v>
      </c>
      <c r="AN5" s="0" t="s">
        <v>68</v>
      </c>
      <c r="AO5" s="0" t="s">
        <v>104</v>
      </c>
      <c r="AR5" s="0" t="s">
        <v>108</v>
      </c>
      <c r="AS5" s="0" t="s">
        <v>108</v>
      </c>
      <c r="AT5" s="0" t="s">
        <v>111</v>
      </c>
      <c r="AU5" s="2" t="b">
        <f aca="false">FALSE()</f>
        <v>0</v>
      </c>
      <c r="AV5" s="0" t="s">
        <v>107</v>
      </c>
      <c r="AW5" s="0" t="s">
        <v>108</v>
      </c>
      <c r="AX5" s="0" t="s">
        <v>104</v>
      </c>
      <c r="AY5" s="2" t="b">
        <f aca="false">TRUE()</f>
        <v>1</v>
      </c>
      <c r="AZ5" s="2" t="b">
        <f aca="false">FALSE()</f>
        <v>0</v>
      </c>
      <c r="BB5" s="2" t="b">
        <f aca="false">TRUE()</f>
        <v>1</v>
      </c>
      <c r="BC5" s="0" t="s">
        <v>112</v>
      </c>
      <c r="BD5" s="2" t="b">
        <f aca="false">FALSE()</f>
        <v>0</v>
      </c>
    </row>
    <row r="6" customFormat="false" ht="15" hidden="false" customHeight="false" outlineLevel="0" collapsed="false">
      <c r="A6" s="0" t="s">
        <v>113</v>
      </c>
      <c r="B6" s="0" t="s">
        <v>114</v>
      </c>
      <c r="C6" s="0" t="s">
        <v>115</v>
      </c>
      <c r="D6" s="0" t="s">
        <v>103</v>
      </c>
      <c r="E6" s="0" t="s">
        <v>116</v>
      </c>
      <c r="F6" s="0" t="s">
        <v>61</v>
      </c>
      <c r="G6" s="0" t="s">
        <v>62</v>
      </c>
      <c r="H6" s="0" t="s">
        <v>62</v>
      </c>
      <c r="I6" s="0" t="s">
        <v>61</v>
      </c>
      <c r="J6" s="0" t="s">
        <v>62</v>
      </c>
      <c r="K6" s="0" t="s">
        <v>62</v>
      </c>
      <c r="L6" s="0" t="s">
        <v>62</v>
      </c>
      <c r="M6" s="0" t="s">
        <v>62</v>
      </c>
      <c r="N6" s="0" t="s">
        <v>62</v>
      </c>
      <c r="O6" s="0" t="s">
        <v>62</v>
      </c>
      <c r="P6" s="0" t="s">
        <v>62</v>
      </c>
      <c r="Q6" s="0" t="s">
        <v>62</v>
      </c>
      <c r="R6" s="0" t="s">
        <v>63</v>
      </c>
      <c r="S6" s="0" t="s">
        <v>117</v>
      </c>
      <c r="T6" s="0" t="s">
        <v>118</v>
      </c>
      <c r="U6" s="0" t="s">
        <v>119</v>
      </c>
      <c r="Y6" s="0" t="s">
        <v>113</v>
      </c>
      <c r="Z6" s="0" t="s">
        <v>113</v>
      </c>
      <c r="AA6" s="0" t="s">
        <v>113</v>
      </c>
      <c r="AB6" s="0" t="s">
        <v>120</v>
      </c>
      <c r="AC6" s="0" t="s">
        <v>68</v>
      </c>
      <c r="AD6" s="0" t="s">
        <v>69</v>
      </c>
      <c r="AE6" s="0" t="n">
        <v>39490</v>
      </c>
      <c r="AF6" s="0" t="s">
        <v>121</v>
      </c>
      <c r="AG6" s="0" t="n">
        <v>1</v>
      </c>
      <c r="AH6" s="0" t="n">
        <v>39613</v>
      </c>
      <c r="AI6" s="0" t="s">
        <v>122</v>
      </c>
      <c r="AJ6" s="0" t="s">
        <v>122</v>
      </c>
      <c r="AK6" s="0" t="s">
        <v>123</v>
      </c>
      <c r="AL6" s="0" t="s">
        <v>118</v>
      </c>
      <c r="AM6" s="0" t="s">
        <v>124</v>
      </c>
      <c r="AN6" s="0" t="s">
        <v>68</v>
      </c>
      <c r="AO6" s="0" t="s">
        <v>117</v>
      </c>
      <c r="AR6" s="0" t="s">
        <v>125</v>
      </c>
      <c r="AS6" s="0" t="s">
        <v>125</v>
      </c>
      <c r="AT6" s="0" t="s">
        <v>126</v>
      </c>
      <c r="AU6" s="2" t="b">
        <f aca="false">TRUE()</f>
        <v>1</v>
      </c>
      <c r="AV6" s="0" t="s">
        <v>123</v>
      </c>
      <c r="AW6" s="0" t="s">
        <v>125</v>
      </c>
      <c r="AX6" s="0" t="s">
        <v>117</v>
      </c>
      <c r="AY6" s="2" t="b">
        <f aca="false">TRUE()</f>
        <v>1</v>
      </c>
      <c r="AZ6" s="2" t="b">
        <f aca="false">FALSE()</f>
        <v>0</v>
      </c>
      <c r="BB6" s="2" t="b">
        <f aca="false">TRUE()</f>
        <v>1</v>
      </c>
      <c r="BC6" s="0" t="s">
        <v>112</v>
      </c>
      <c r="BD6" s="2" t="b">
        <f aca="false">FALSE()</f>
        <v>0</v>
      </c>
    </row>
    <row r="7" customFormat="false" ht="15" hidden="false" customHeight="false" outlineLevel="0" collapsed="false">
      <c r="A7" s="0" t="s">
        <v>127</v>
      </c>
      <c r="B7" s="0" t="s">
        <v>128</v>
      </c>
      <c r="C7" s="0" t="s">
        <v>129</v>
      </c>
      <c r="D7" s="0" t="s">
        <v>59</v>
      </c>
      <c r="E7" s="0" t="s">
        <v>60</v>
      </c>
      <c r="F7" s="0" t="s">
        <v>62</v>
      </c>
      <c r="G7" s="0" t="s">
        <v>61</v>
      </c>
      <c r="H7" s="0" t="s">
        <v>62</v>
      </c>
      <c r="I7" s="0" t="s">
        <v>62</v>
      </c>
      <c r="J7" s="0" t="s">
        <v>61</v>
      </c>
      <c r="K7" s="0" t="s">
        <v>62</v>
      </c>
      <c r="L7" s="0" t="s">
        <v>62</v>
      </c>
      <c r="M7" s="0" t="s">
        <v>62</v>
      </c>
      <c r="N7" s="0" t="s">
        <v>62</v>
      </c>
      <c r="O7" s="0" t="s">
        <v>62</v>
      </c>
      <c r="P7" s="0" t="s">
        <v>62</v>
      </c>
      <c r="Q7" s="0" t="s">
        <v>62</v>
      </c>
      <c r="R7" s="0" t="s">
        <v>63</v>
      </c>
      <c r="S7" s="0" t="s">
        <v>130</v>
      </c>
      <c r="T7" s="0" t="s">
        <v>131</v>
      </c>
      <c r="U7" s="0" t="s">
        <v>132</v>
      </c>
      <c r="Y7" s="0" t="s">
        <v>127</v>
      </c>
      <c r="Z7" s="0" t="s">
        <v>127</v>
      </c>
      <c r="AA7" s="0" t="s">
        <v>127</v>
      </c>
      <c r="AB7" s="0" t="s">
        <v>133</v>
      </c>
      <c r="AC7" s="0" t="s">
        <v>68</v>
      </c>
      <c r="AD7" s="0" t="s">
        <v>86</v>
      </c>
      <c r="AE7" s="0" t="n">
        <v>3129557</v>
      </c>
      <c r="AF7" s="0" t="s">
        <v>134</v>
      </c>
      <c r="AG7" s="0" t="n">
        <v>1</v>
      </c>
      <c r="AH7" s="0" t="n">
        <v>3129557</v>
      </c>
      <c r="AI7" s="0" t="s">
        <v>134</v>
      </c>
      <c r="AJ7" s="0" t="s">
        <v>134</v>
      </c>
      <c r="AK7" s="0" t="s">
        <v>127</v>
      </c>
      <c r="AL7" s="0" t="s">
        <v>131</v>
      </c>
      <c r="AM7" s="0" t="s">
        <v>132</v>
      </c>
      <c r="AN7" s="0" t="s">
        <v>68</v>
      </c>
      <c r="AO7" s="0" t="s">
        <v>130</v>
      </c>
      <c r="AR7" s="0" t="s">
        <v>135</v>
      </c>
      <c r="AS7" s="0" t="s">
        <v>133</v>
      </c>
      <c r="AT7" s="0" t="s">
        <v>136</v>
      </c>
      <c r="AU7" s="2" t="b">
        <f aca="false">TRUE()</f>
        <v>1</v>
      </c>
      <c r="AV7" s="0" t="s">
        <v>127</v>
      </c>
      <c r="AW7" s="0" t="s">
        <v>135</v>
      </c>
      <c r="AX7" s="0" t="s">
        <v>130</v>
      </c>
      <c r="AY7" s="2" t="b">
        <f aca="false">FALSE()</f>
        <v>0</v>
      </c>
      <c r="AZ7" s="2" t="b">
        <f aca="false">FALSE()</f>
        <v>0</v>
      </c>
      <c r="BB7" s="2" t="b">
        <f aca="false">TRUE()</f>
        <v>1</v>
      </c>
      <c r="BC7" s="0" t="s">
        <v>137</v>
      </c>
      <c r="BD7" s="2" t="b">
        <f aca="false">TRUE()</f>
        <v>1</v>
      </c>
    </row>
    <row r="8" customFormat="false" ht="15" hidden="false" customHeight="false" outlineLevel="0" collapsed="false">
      <c r="A8" s="0" t="s">
        <v>138</v>
      </c>
      <c r="B8" s="0" t="s">
        <v>139</v>
      </c>
      <c r="C8" s="0" t="s">
        <v>140</v>
      </c>
      <c r="D8" s="0" t="s">
        <v>59</v>
      </c>
      <c r="E8" s="0" t="s">
        <v>60</v>
      </c>
      <c r="F8" s="0" t="s">
        <v>61</v>
      </c>
      <c r="G8" s="0" t="s">
        <v>62</v>
      </c>
      <c r="H8" s="0" t="s">
        <v>62</v>
      </c>
      <c r="I8" s="0" t="s">
        <v>61</v>
      </c>
      <c r="J8" s="0" t="s">
        <v>62</v>
      </c>
      <c r="K8" s="0" t="s">
        <v>62</v>
      </c>
      <c r="L8" s="0" t="s">
        <v>62</v>
      </c>
      <c r="M8" s="0" t="s">
        <v>62</v>
      </c>
      <c r="N8" s="0" t="s">
        <v>62</v>
      </c>
      <c r="O8" s="0" t="s">
        <v>62</v>
      </c>
      <c r="P8" s="0" t="s">
        <v>62</v>
      </c>
      <c r="Q8" s="0" t="s">
        <v>62</v>
      </c>
      <c r="R8" s="0" t="s">
        <v>63</v>
      </c>
      <c r="S8" s="0" t="s">
        <v>141</v>
      </c>
      <c r="T8" s="0" t="s">
        <v>142</v>
      </c>
      <c r="U8" s="0" t="s">
        <v>143</v>
      </c>
      <c r="Y8" s="0" t="s">
        <v>138</v>
      </c>
      <c r="Z8" s="0" t="s">
        <v>138</v>
      </c>
      <c r="AA8" s="0" t="s">
        <v>138</v>
      </c>
      <c r="AB8" s="0" t="s">
        <v>144</v>
      </c>
      <c r="AC8" s="0" t="s">
        <v>68</v>
      </c>
      <c r="AD8" s="0" t="s">
        <v>86</v>
      </c>
      <c r="AE8" s="0" t="n">
        <v>405342</v>
      </c>
      <c r="AF8" s="0" t="s">
        <v>145</v>
      </c>
      <c r="AG8" s="0" t="n">
        <v>1</v>
      </c>
      <c r="AH8" s="0" t="n">
        <v>405342</v>
      </c>
      <c r="AI8" s="0" t="s">
        <v>145</v>
      </c>
      <c r="AJ8" s="0" t="s">
        <v>145</v>
      </c>
      <c r="AK8" s="0" t="s">
        <v>138</v>
      </c>
      <c r="AL8" s="0" t="s">
        <v>142</v>
      </c>
      <c r="AM8" s="0" t="s">
        <v>143</v>
      </c>
      <c r="AN8" s="0" t="s">
        <v>68</v>
      </c>
      <c r="AO8" s="0" t="s">
        <v>141</v>
      </c>
      <c r="AR8" s="0" t="s">
        <v>144</v>
      </c>
      <c r="AS8" s="0" t="s">
        <v>144</v>
      </c>
      <c r="AT8" s="0" t="s">
        <v>146</v>
      </c>
      <c r="AU8" s="2" t="b">
        <f aca="false">TRUE()</f>
        <v>1</v>
      </c>
      <c r="AV8" s="0" t="s">
        <v>138</v>
      </c>
      <c r="AW8" s="0" t="s">
        <v>144</v>
      </c>
      <c r="AX8" s="0" t="s">
        <v>141</v>
      </c>
      <c r="AY8" s="2" t="b">
        <f aca="false">FALSE()</f>
        <v>0</v>
      </c>
      <c r="AZ8" s="2" t="b">
        <f aca="false">FALSE()</f>
        <v>0</v>
      </c>
      <c r="BB8" s="2" t="b">
        <f aca="false">TRUE()</f>
        <v>1</v>
      </c>
      <c r="BC8" s="0" t="s">
        <v>112</v>
      </c>
      <c r="BD8" s="2" t="b">
        <f aca="false">FALSE()</f>
        <v>0</v>
      </c>
    </row>
    <row r="9" customFormat="false" ht="15" hidden="false" customHeight="false" outlineLevel="0" collapsed="false">
      <c r="A9" s="0" t="s">
        <v>147</v>
      </c>
      <c r="B9" s="0" t="s">
        <v>148</v>
      </c>
      <c r="D9" s="0" t="s">
        <v>59</v>
      </c>
      <c r="E9" s="0" t="s">
        <v>149</v>
      </c>
      <c r="F9" s="0" t="s">
        <v>60</v>
      </c>
      <c r="G9" s="0" t="s">
        <v>60</v>
      </c>
      <c r="H9" s="0" t="s">
        <v>62</v>
      </c>
      <c r="I9" s="0" t="s">
        <v>62</v>
      </c>
      <c r="J9" s="0" t="s">
        <v>62</v>
      </c>
      <c r="K9" s="0" t="s">
        <v>62</v>
      </c>
      <c r="L9" s="0" t="s">
        <v>62</v>
      </c>
      <c r="M9" s="0" t="s">
        <v>62</v>
      </c>
      <c r="N9" s="0" t="s">
        <v>62</v>
      </c>
      <c r="O9" s="0" t="s">
        <v>62</v>
      </c>
      <c r="P9" s="0" t="s">
        <v>61</v>
      </c>
      <c r="Q9" s="0" t="s">
        <v>62</v>
      </c>
      <c r="R9" s="0" t="s">
        <v>63</v>
      </c>
      <c r="S9" s="0" t="s">
        <v>150</v>
      </c>
      <c r="T9" s="0" t="s">
        <v>151</v>
      </c>
      <c r="U9" s="0" t="s">
        <v>152</v>
      </c>
      <c r="Y9" s="0" t="s">
        <v>147</v>
      </c>
      <c r="Z9" s="0" t="s">
        <v>147</v>
      </c>
      <c r="AA9" s="0" t="s">
        <v>153</v>
      </c>
      <c r="AB9" s="0" t="s">
        <v>154</v>
      </c>
      <c r="AC9" s="0" t="s">
        <v>68</v>
      </c>
      <c r="AD9" s="0" t="s">
        <v>86</v>
      </c>
      <c r="AE9" s="0" t="n">
        <v>2913042</v>
      </c>
      <c r="AF9" s="0" t="s">
        <v>155</v>
      </c>
      <c r="AG9" s="0" t="n">
        <v>0.842</v>
      </c>
      <c r="AH9" s="0" t="n">
        <v>2913042</v>
      </c>
      <c r="AI9" s="0" t="s">
        <v>155</v>
      </c>
      <c r="AJ9" s="0" t="s">
        <v>155</v>
      </c>
      <c r="AK9" s="0" t="s">
        <v>153</v>
      </c>
      <c r="AL9" s="0" t="s">
        <v>151</v>
      </c>
      <c r="AM9" s="0" t="s">
        <v>156</v>
      </c>
      <c r="AN9" s="0" t="s">
        <v>68</v>
      </c>
      <c r="AO9" s="0" t="s">
        <v>150</v>
      </c>
      <c r="AR9" s="0" t="s">
        <v>154</v>
      </c>
      <c r="AS9" s="0" t="s">
        <v>154</v>
      </c>
      <c r="AU9" s="2" t="b">
        <f aca="false">FALSE()</f>
        <v>0</v>
      </c>
      <c r="AV9" s="0" t="s">
        <v>153</v>
      </c>
      <c r="AW9" s="0" t="s">
        <v>154</v>
      </c>
      <c r="AX9" s="0" t="s">
        <v>150</v>
      </c>
      <c r="AY9" s="2" t="b">
        <f aca="false">TRUE()</f>
        <v>1</v>
      </c>
      <c r="AZ9" s="2" t="b">
        <f aca="false">FALSE()</f>
        <v>0</v>
      </c>
      <c r="BB9" s="2" t="b">
        <f aca="false">TRUE()</f>
        <v>1</v>
      </c>
      <c r="BC9" s="0" t="s">
        <v>157</v>
      </c>
      <c r="BD9" s="2" t="b">
        <f aca="false">FALSE()</f>
        <v>0</v>
      </c>
    </row>
    <row r="10" customFormat="false" ht="15" hidden="false" customHeight="false" outlineLevel="0" collapsed="false">
      <c r="A10" s="0" t="s">
        <v>158</v>
      </c>
      <c r="B10" s="0" t="s">
        <v>159</v>
      </c>
      <c r="D10" s="0" t="s">
        <v>59</v>
      </c>
      <c r="E10" s="0" t="s">
        <v>60</v>
      </c>
      <c r="F10" s="0" t="s">
        <v>60</v>
      </c>
      <c r="G10" s="0" t="s">
        <v>60</v>
      </c>
      <c r="H10" s="0" t="s">
        <v>62</v>
      </c>
      <c r="I10" s="0" t="s">
        <v>62</v>
      </c>
      <c r="J10" s="0" t="s">
        <v>62</v>
      </c>
      <c r="K10" s="0" t="s">
        <v>62</v>
      </c>
      <c r="L10" s="0" t="s">
        <v>62</v>
      </c>
      <c r="M10" s="0" t="s">
        <v>62</v>
      </c>
      <c r="N10" s="0" t="s">
        <v>62</v>
      </c>
      <c r="O10" s="0" t="s">
        <v>62</v>
      </c>
      <c r="P10" s="0" t="s">
        <v>62</v>
      </c>
      <c r="Q10" s="0" t="s">
        <v>62</v>
      </c>
      <c r="R10" s="0" t="s">
        <v>63</v>
      </c>
      <c r="S10" s="0" t="s">
        <v>160</v>
      </c>
      <c r="T10" s="0" t="s">
        <v>161</v>
      </c>
      <c r="U10" s="0" t="s">
        <v>162</v>
      </c>
      <c r="Y10" s="0" t="s">
        <v>158</v>
      </c>
      <c r="Z10" s="0" t="s">
        <v>158</v>
      </c>
      <c r="AA10" s="0" t="s">
        <v>158</v>
      </c>
      <c r="AB10" s="0" t="s">
        <v>163</v>
      </c>
      <c r="AC10" s="0" t="s">
        <v>68</v>
      </c>
      <c r="AD10" s="0" t="s">
        <v>86</v>
      </c>
      <c r="AE10" s="0" t="n">
        <v>2731688</v>
      </c>
      <c r="AF10" s="0" t="s">
        <v>164</v>
      </c>
      <c r="AG10" s="0" t="n">
        <v>1</v>
      </c>
      <c r="AH10" s="0" t="n">
        <v>2731688</v>
      </c>
      <c r="AI10" s="0" t="s">
        <v>164</v>
      </c>
      <c r="AJ10" s="0" t="s">
        <v>164</v>
      </c>
      <c r="AK10" s="0" t="s">
        <v>158</v>
      </c>
      <c r="AL10" s="0" t="s">
        <v>161</v>
      </c>
      <c r="AM10" s="0" t="s">
        <v>162</v>
      </c>
      <c r="AN10" s="0" t="s">
        <v>68</v>
      </c>
      <c r="AO10" s="0" t="s">
        <v>160</v>
      </c>
      <c r="AR10" s="0" t="s">
        <v>163</v>
      </c>
      <c r="AS10" s="0" t="s">
        <v>163</v>
      </c>
      <c r="AT10" s="0" t="s">
        <v>14</v>
      </c>
      <c r="AU10" s="2" t="b">
        <f aca="false">TRUE()</f>
        <v>1</v>
      </c>
      <c r="AV10" s="0" t="s">
        <v>158</v>
      </c>
      <c r="AW10" s="0" t="s">
        <v>163</v>
      </c>
      <c r="AX10" s="0" t="s">
        <v>160</v>
      </c>
      <c r="AY10" s="2" t="b">
        <f aca="false">FALSE()</f>
        <v>0</v>
      </c>
      <c r="AZ10" s="2" t="b">
        <f aca="false">FALSE()</f>
        <v>0</v>
      </c>
      <c r="BB10" s="2" t="b">
        <f aca="false">TRUE()</f>
        <v>1</v>
      </c>
      <c r="BC10" s="0" t="s">
        <v>99</v>
      </c>
      <c r="BD10" s="2" t="b">
        <f aca="false">FALSE()</f>
        <v>0</v>
      </c>
    </row>
    <row r="11" customFormat="false" ht="15" hidden="false" customHeight="false" outlineLevel="0" collapsed="false">
      <c r="A11" s="0" t="s">
        <v>165</v>
      </c>
      <c r="B11" s="0" t="s">
        <v>166</v>
      </c>
      <c r="D11" s="0" t="s">
        <v>59</v>
      </c>
      <c r="E11" s="0" t="s">
        <v>60</v>
      </c>
      <c r="F11" s="0" t="s">
        <v>62</v>
      </c>
      <c r="G11" s="0" t="s">
        <v>61</v>
      </c>
      <c r="H11" s="0" t="s">
        <v>62</v>
      </c>
      <c r="I11" s="0" t="s">
        <v>62</v>
      </c>
      <c r="J11" s="0" t="s">
        <v>61</v>
      </c>
      <c r="K11" s="0" t="s">
        <v>62</v>
      </c>
      <c r="L11" s="0" t="s">
        <v>62</v>
      </c>
      <c r="M11" s="0" t="s">
        <v>62</v>
      </c>
      <c r="N11" s="0" t="s">
        <v>62</v>
      </c>
      <c r="O11" s="0" t="s">
        <v>62</v>
      </c>
      <c r="P11" s="0" t="s">
        <v>62</v>
      </c>
      <c r="Q11" s="0" t="s">
        <v>62</v>
      </c>
      <c r="R11" s="0" t="s">
        <v>63</v>
      </c>
      <c r="S11" s="0" t="s">
        <v>160</v>
      </c>
      <c r="T11" s="0" t="s">
        <v>161</v>
      </c>
      <c r="U11" s="0" t="s">
        <v>167</v>
      </c>
      <c r="Y11" s="0" t="s">
        <v>165</v>
      </c>
      <c r="Z11" s="0" t="s">
        <v>165</v>
      </c>
      <c r="AA11" s="0" t="s">
        <v>165</v>
      </c>
      <c r="AB11" s="0" t="s">
        <v>168</v>
      </c>
      <c r="AC11" s="0" t="s">
        <v>68</v>
      </c>
      <c r="AD11" s="0" t="s">
        <v>86</v>
      </c>
      <c r="AE11" s="0" t="n">
        <v>2731931</v>
      </c>
      <c r="AF11" s="0" t="s">
        <v>169</v>
      </c>
      <c r="AG11" s="0" t="n">
        <v>1</v>
      </c>
      <c r="AH11" s="0" t="n">
        <v>2731931</v>
      </c>
      <c r="AI11" s="0" t="s">
        <v>169</v>
      </c>
      <c r="AJ11" s="0" t="s">
        <v>169</v>
      </c>
      <c r="AK11" s="0" t="s">
        <v>165</v>
      </c>
      <c r="AL11" s="0" t="s">
        <v>161</v>
      </c>
      <c r="AM11" s="0" t="s">
        <v>167</v>
      </c>
      <c r="AN11" s="0" t="s">
        <v>68</v>
      </c>
      <c r="AO11" s="0" t="s">
        <v>160</v>
      </c>
      <c r="AR11" s="0" t="s">
        <v>168</v>
      </c>
      <c r="AS11" s="0" t="s">
        <v>168</v>
      </c>
      <c r="AT11" s="0" t="s">
        <v>170</v>
      </c>
      <c r="AU11" s="2" t="b">
        <f aca="false">TRUE()</f>
        <v>1</v>
      </c>
      <c r="AV11" s="0" t="s">
        <v>165</v>
      </c>
      <c r="AW11" s="0" t="s">
        <v>168</v>
      </c>
      <c r="AX11" s="0" t="s">
        <v>160</v>
      </c>
      <c r="AY11" s="2" t="b">
        <f aca="false">FALSE()</f>
        <v>0</v>
      </c>
      <c r="AZ11" s="2" t="b">
        <f aca="false">FALSE()</f>
        <v>0</v>
      </c>
      <c r="BB11" s="2" t="b">
        <f aca="false">TRUE()</f>
        <v>1</v>
      </c>
      <c r="BC11" s="0" t="s">
        <v>137</v>
      </c>
      <c r="BD11" s="2" t="b">
        <f aca="false">TRUE()</f>
        <v>1</v>
      </c>
    </row>
    <row r="12" customFormat="false" ht="15" hidden="false" customHeight="false" outlineLevel="0" collapsed="false">
      <c r="A12" s="0" t="s">
        <v>171</v>
      </c>
      <c r="B12" s="0" t="s">
        <v>172</v>
      </c>
      <c r="D12" s="0" t="s">
        <v>59</v>
      </c>
      <c r="E12" s="0" t="s">
        <v>173</v>
      </c>
      <c r="F12" s="0" t="s">
        <v>60</v>
      </c>
      <c r="G12" s="0" t="s">
        <v>60</v>
      </c>
      <c r="H12" s="0" t="s">
        <v>62</v>
      </c>
      <c r="I12" s="0" t="s">
        <v>62</v>
      </c>
      <c r="J12" s="0" t="s">
        <v>62</v>
      </c>
      <c r="K12" s="0" t="s">
        <v>62</v>
      </c>
      <c r="L12" s="0" t="s">
        <v>62</v>
      </c>
      <c r="M12" s="0" t="s">
        <v>62</v>
      </c>
      <c r="N12" s="0" t="s">
        <v>62</v>
      </c>
      <c r="O12" s="0" t="s">
        <v>62</v>
      </c>
      <c r="P12" s="0" t="s">
        <v>61</v>
      </c>
      <c r="Q12" s="0" t="s">
        <v>62</v>
      </c>
      <c r="R12" s="0" t="s">
        <v>63</v>
      </c>
      <c r="S12" s="0" t="s">
        <v>174</v>
      </c>
      <c r="T12" s="0" t="s">
        <v>175</v>
      </c>
      <c r="U12" s="0" t="s">
        <v>176</v>
      </c>
      <c r="Y12" s="0" t="s">
        <v>171</v>
      </c>
      <c r="Z12" s="0" t="s">
        <v>171</v>
      </c>
      <c r="AA12" s="0" t="s">
        <v>171</v>
      </c>
      <c r="AB12" s="0" t="s">
        <v>177</v>
      </c>
      <c r="AC12" s="0" t="s">
        <v>68</v>
      </c>
      <c r="AD12" s="0" t="s">
        <v>86</v>
      </c>
      <c r="AE12" s="0" t="n">
        <v>2740606</v>
      </c>
      <c r="AF12" s="0" t="s">
        <v>178</v>
      </c>
      <c r="AG12" s="0" t="n">
        <v>1</v>
      </c>
      <c r="AH12" s="0" t="n">
        <v>2740606</v>
      </c>
      <c r="AI12" s="0" t="s">
        <v>178</v>
      </c>
      <c r="AJ12" s="0" t="s">
        <v>178</v>
      </c>
      <c r="AK12" s="0" t="s">
        <v>171</v>
      </c>
      <c r="AL12" s="0" t="s">
        <v>175</v>
      </c>
      <c r="AM12" s="0" t="s">
        <v>176</v>
      </c>
      <c r="AN12" s="0" t="s">
        <v>68</v>
      </c>
      <c r="AO12" s="0" t="s">
        <v>179</v>
      </c>
      <c r="AR12" s="0" t="s">
        <v>177</v>
      </c>
      <c r="AS12" s="0" t="s">
        <v>177</v>
      </c>
      <c r="AT12" s="0" t="s">
        <v>12</v>
      </c>
      <c r="AU12" s="2" t="b">
        <f aca="false">TRUE()</f>
        <v>1</v>
      </c>
      <c r="AV12" s="0" t="s">
        <v>171</v>
      </c>
      <c r="AW12" s="0" t="s">
        <v>177</v>
      </c>
      <c r="AX12" s="0" t="s">
        <v>179</v>
      </c>
      <c r="AY12" s="2" t="b">
        <f aca="false">FALSE()</f>
        <v>0</v>
      </c>
      <c r="AZ12" s="2" t="b">
        <f aca="false">FALSE()</f>
        <v>0</v>
      </c>
      <c r="BB12" s="2" t="b">
        <f aca="false">TRUE()</f>
        <v>1</v>
      </c>
      <c r="BC12" s="0" t="s">
        <v>157</v>
      </c>
      <c r="BD12" s="2" t="b">
        <f aca="false">FALSE()</f>
        <v>0</v>
      </c>
    </row>
    <row r="13" customFormat="false" ht="15" hidden="false" customHeight="false" outlineLevel="0" collapsed="false">
      <c r="A13" s="0" t="s">
        <v>180</v>
      </c>
      <c r="B13" s="0" t="s">
        <v>181</v>
      </c>
      <c r="D13" s="0" t="s">
        <v>59</v>
      </c>
      <c r="E13" s="0" t="s">
        <v>182</v>
      </c>
      <c r="F13" s="0" t="s">
        <v>62</v>
      </c>
      <c r="G13" s="0" t="s">
        <v>61</v>
      </c>
      <c r="H13" s="0" t="s">
        <v>62</v>
      </c>
      <c r="I13" s="0" t="s">
        <v>62</v>
      </c>
      <c r="J13" s="0" t="s">
        <v>61</v>
      </c>
      <c r="K13" s="0" t="s">
        <v>62</v>
      </c>
      <c r="L13" s="0" t="s">
        <v>62</v>
      </c>
      <c r="M13" s="0" t="s">
        <v>62</v>
      </c>
      <c r="N13" s="0" t="s">
        <v>62</v>
      </c>
      <c r="O13" s="0" t="s">
        <v>62</v>
      </c>
      <c r="P13" s="0" t="s">
        <v>62</v>
      </c>
      <c r="Q13" s="0" t="s">
        <v>62</v>
      </c>
      <c r="R13" s="0" t="s">
        <v>63</v>
      </c>
      <c r="S13" s="0" t="s">
        <v>82</v>
      </c>
      <c r="T13" s="0" t="s">
        <v>183</v>
      </c>
      <c r="U13" s="0" t="s">
        <v>184</v>
      </c>
      <c r="Y13" s="0" t="s">
        <v>180</v>
      </c>
      <c r="Z13" s="0" t="s">
        <v>180</v>
      </c>
      <c r="AA13" s="0" t="s">
        <v>180</v>
      </c>
      <c r="AB13" s="0" t="s">
        <v>185</v>
      </c>
      <c r="AC13" s="0" t="s">
        <v>68</v>
      </c>
      <c r="AD13" s="0" t="s">
        <v>86</v>
      </c>
      <c r="AE13" s="0" t="n">
        <v>3145264</v>
      </c>
      <c r="AF13" s="0" t="s">
        <v>186</v>
      </c>
      <c r="AG13" s="0" t="n">
        <v>1</v>
      </c>
      <c r="AH13" s="0" t="n">
        <v>3145264</v>
      </c>
      <c r="AI13" s="0" t="s">
        <v>186</v>
      </c>
      <c r="AJ13" s="0" t="s">
        <v>186</v>
      </c>
      <c r="AK13" s="0" t="s">
        <v>180</v>
      </c>
      <c r="AL13" s="0" t="s">
        <v>183</v>
      </c>
      <c r="AM13" s="0" t="s">
        <v>184</v>
      </c>
      <c r="AN13" s="0" t="s">
        <v>68</v>
      </c>
      <c r="AO13" s="0" t="s">
        <v>82</v>
      </c>
      <c r="AR13" s="0" t="s">
        <v>185</v>
      </c>
      <c r="AS13" s="0" t="s">
        <v>185</v>
      </c>
      <c r="AU13" s="2" t="b">
        <f aca="false">TRUE()</f>
        <v>1</v>
      </c>
      <c r="AV13" s="0" t="s">
        <v>180</v>
      </c>
      <c r="AW13" s="0" t="s">
        <v>185</v>
      </c>
      <c r="AX13" s="0" t="s">
        <v>82</v>
      </c>
      <c r="AY13" s="2" t="b">
        <f aca="false">FALSE()</f>
        <v>0</v>
      </c>
      <c r="AZ13" s="2" t="b">
        <f aca="false">FALSE()</f>
        <v>0</v>
      </c>
      <c r="BB13" s="2" t="b">
        <f aca="false">TRUE()</f>
        <v>1</v>
      </c>
      <c r="BC13" s="0" t="s">
        <v>137</v>
      </c>
      <c r="BD13" s="2" t="b">
        <f aca="false">TRUE()</f>
        <v>1</v>
      </c>
    </row>
    <row r="14" customFormat="false" ht="15" hidden="false" customHeight="false" outlineLevel="0" collapsed="false">
      <c r="A14" s="0" t="s">
        <v>187</v>
      </c>
      <c r="B14" s="0" t="s">
        <v>188</v>
      </c>
      <c r="D14" s="0" t="s">
        <v>59</v>
      </c>
      <c r="E14" s="0" t="s">
        <v>189</v>
      </c>
      <c r="F14" s="0" t="s">
        <v>62</v>
      </c>
      <c r="G14" s="0" t="s">
        <v>61</v>
      </c>
      <c r="H14" s="0" t="s">
        <v>62</v>
      </c>
      <c r="I14" s="0" t="s">
        <v>62</v>
      </c>
      <c r="J14" s="0" t="s">
        <v>61</v>
      </c>
      <c r="K14" s="0" t="s">
        <v>62</v>
      </c>
      <c r="L14" s="0" t="s">
        <v>62</v>
      </c>
      <c r="M14" s="0" t="s">
        <v>62</v>
      </c>
      <c r="N14" s="0" t="s">
        <v>62</v>
      </c>
      <c r="O14" s="0" t="s">
        <v>62</v>
      </c>
      <c r="P14" s="0" t="s">
        <v>62</v>
      </c>
      <c r="Q14" s="0" t="s">
        <v>62</v>
      </c>
      <c r="R14" s="0" t="s">
        <v>63</v>
      </c>
      <c r="S14" s="0" t="s">
        <v>82</v>
      </c>
      <c r="T14" s="0" t="s">
        <v>183</v>
      </c>
      <c r="U14" s="0" t="s">
        <v>190</v>
      </c>
      <c r="Y14" s="0" t="s">
        <v>187</v>
      </c>
      <c r="Z14" s="0" t="s">
        <v>187</v>
      </c>
      <c r="AA14" s="0" t="s">
        <v>187</v>
      </c>
      <c r="AB14" s="0" t="s">
        <v>191</v>
      </c>
      <c r="AC14" s="0" t="s">
        <v>68</v>
      </c>
      <c r="AD14" s="0" t="s">
        <v>86</v>
      </c>
      <c r="AE14" s="0" t="n">
        <v>3146163</v>
      </c>
      <c r="AF14" s="0" t="s">
        <v>192</v>
      </c>
      <c r="AG14" s="0" t="n">
        <v>1</v>
      </c>
      <c r="AH14" s="0" t="n">
        <v>3146163</v>
      </c>
      <c r="AI14" s="0" t="s">
        <v>192</v>
      </c>
      <c r="AJ14" s="0" t="s">
        <v>192</v>
      </c>
      <c r="AK14" s="0" t="s">
        <v>187</v>
      </c>
      <c r="AL14" s="0" t="s">
        <v>183</v>
      </c>
      <c r="AM14" s="0" t="s">
        <v>190</v>
      </c>
      <c r="AN14" s="0" t="s">
        <v>68</v>
      </c>
      <c r="AO14" s="0" t="s">
        <v>82</v>
      </c>
      <c r="AR14" s="0" t="s">
        <v>193</v>
      </c>
      <c r="AS14" s="0" t="s">
        <v>191</v>
      </c>
      <c r="AU14" s="2" t="b">
        <f aca="false">TRUE()</f>
        <v>1</v>
      </c>
      <c r="AV14" s="0" t="s">
        <v>187</v>
      </c>
      <c r="AW14" s="0" t="s">
        <v>193</v>
      </c>
      <c r="AX14" s="0" t="s">
        <v>82</v>
      </c>
      <c r="AY14" s="2" t="b">
        <f aca="false">FALSE()</f>
        <v>0</v>
      </c>
      <c r="AZ14" s="2" t="b">
        <f aca="false">FALSE()</f>
        <v>0</v>
      </c>
      <c r="BB14" s="2" t="b">
        <f aca="false">TRUE()</f>
        <v>1</v>
      </c>
      <c r="BC14" s="0" t="s">
        <v>137</v>
      </c>
      <c r="BD14" s="2" t="b">
        <f aca="false">TRUE()</f>
        <v>1</v>
      </c>
    </row>
    <row r="15" customFormat="false" ht="15" hidden="false" customHeight="false" outlineLevel="0" collapsed="false">
      <c r="A15" s="0" t="s">
        <v>194</v>
      </c>
      <c r="B15" s="0" t="s">
        <v>195</v>
      </c>
      <c r="D15" s="0" t="s">
        <v>60</v>
      </c>
      <c r="E15" s="0" t="s">
        <v>60</v>
      </c>
      <c r="F15" s="0" t="s">
        <v>62</v>
      </c>
      <c r="G15" s="0" t="s">
        <v>61</v>
      </c>
      <c r="H15" s="0" t="s">
        <v>62</v>
      </c>
      <c r="I15" s="0" t="s">
        <v>62</v>
      </c>
      <c r="J15" s="0" t="s">
        <v>61</v>
      </c>
      <c r="K15" s="0" t="s">
        <v>62</v>
      </c>
      <c r="L15" s="0" t="s">
        <v>62</v>
      </c>
      <c r="M15" s="0" t="s">
        <v>62</v>
      </c>
      <c r="N15" s="0" t="s">
        <v>62</v>
      </c>
      <c r="O15" s="0" t="s">
        <v>62</v>
      </c>
      <c r="P15" s="0" t="s">
        <v>62</v>
      </c>
      <c r="Q15" s="0" t="s">
        <v>62</v>
      </c>
      <c r="R15" s="0" t="s">
        <v>63</v>
      </c>
      <c r="S15" s="0" t="s">
        <v>196</v>
      </c>
      <c r="T15" s="0" t="s">
        <v>197</v>
      </c>
      <c r="U15" s="0" t="s">
        <v>198</v>
      </c>
      <c r="Y15" s="0" t="s">
        <v>194</v>
      </c>
      <c r="Z15" s="0" t="s">
        <v>194</v>
      </c>
      <c r="AA15" s="0" t="s">
        <v>194</v>
      </c>
      <c r="AB15" s="0" t="s">
        <v>199</v>
      </c>
      <c r="AC15" s="0" t="s">
        <v>68</v>
      </c>
      <c r="AD15" s="0" t="s">
        <v>86</v>
      </c>
      <c r="AE15" s="0" t="n">
        <v>2755469</v>
      </c>
      <c r="AF15" s="0" t="s">
        <v>200</v>
      </c>
      <c r="AG15" s="0" t="n">
        <v>1</v>
      </c>
      <c r="AH15" s="0" t="n">
        <v>2755469</v>
      </c>
      <c r="AI15" s="0" t="s">
        <v>200</v>
      </c>
      <c r="AJ15" s="0" t="s">
        <v>200</v>
      </c>
      <c r="AK15" s="0" t="s">
        <v>194</v>
      </c>
      <c r="AL15" s="0" t="s">
        <v>197</v>
      </c>
      <c r="AM15" s="0" t="s">
        <v>198</v>
      </c>
      <c r="AN15" s="0" t="s">
        <v>68</v>
      </c>
      <c r="AO15" s="0" t="s">
        <v>64</v>
      </c>
      <c r="AR15" s="0" t="s">
        <v>201</v>
      </c>
      <c r="AS15" s="0" t="s">
        <v>199</v>
      </c>
      <c r="AT15" s="0" t="s">
        <v>126</v>
      </c>
      <c r="AU15" s="2" t="b">
        <f aca="false">TRUE()</f>
        <v>1</v>
      </c>
      <c r="AV15" s="0" t="s">
        <v>194</v>
      </c>
      <c r="AW15" s="0" t="s">
        <v>201</v>
      </c>
      <c r="AX15" s="0" t="s">
        <v>64</v>
      </c>
      <c r="AY15" s="2" t="b">
        <f aca="false">FALSE()</f>
        <v>0</v>
      </c>
      <c r="AZ15" s="2" t="b">
        <f aca="false">FALSE()</f>
        <v>0</v>
      </c>
      <c r="BB15" s="2" t="b">
        <f aca="false">TRUE()</f>
        <v>1</v>
      </c>
      <c r="BC15" s="0" t="s">
        <v>137</v>
      </c>
      <c r="BD15" s="2" t="b">
        <f aca="false">TRUE()</f>
        <v>1</v>
      </c>
    </row>
    <row r="16" customFormat="false" ht="15" hidden="false" customHeight="false" outlineLevel="0" collapsed="false">
      <c r="A16" s="0" t="s">
        <v>202</v>
      </c>
      <c r="B16" s="0" t="s">
        <v>203</v>
      </c>
      <c r="C16" s="0" t="s">
        <v>204</v>
      </c>
      <c r="D16" s="0" t="s">
        <v>103</v>
      </c>
      <c r="E16" s="0" t="s">
        <v>60</v>
      </c>
      <c r="F16" s="0" t="s">
        <v>61</v>
      </c>
      <c r="G16" s="0" t="s">
        <v>62</v>
      </c>
      <c r="H16" s="0" t="s">
        <v>62</v>
      </c>
      <c r="I16" s="0" t="s">
        <v>61</v>
      </c>
      <c r="J16" s="0" t="s">
        <v>62</v>
      </c>
      <c r="K16" s="0" t="s">
        <v>62</v>
      </c>
      <c r="L16" s="0" t="s">
        <v>62</v>
      </c>
      <c r="M16" s="0" t="s">
        <v>62</v>
      </c>
      <c r="N16" s="0" t="s">
        <v>62</v>
      </c>
      <c r="O16" s="0" t="s">
        <v>62</v>
      </c>
      <c r="P16" s="0" t="s">
        <v>62</v>
      </c>
      <c r="Q16" s="0" t="s">
        <v>62</v>
      </c>
      <c r="R16" s="0" t="s">
        <v>63</v>
      </c>
      <c r="S16" s="0" t="s">
        <v>196</v>
      </c>
      <c r="T16" s="0" t="s">
        <v>205</v>
      </c>
      <c r="U16" s="0" t="s">
        <v>206</v>
      </c>
      <c r="Y16" s="0" t="s">
        <v>202</v>
      </c>
      <c r="Z16" s="0" t="s">
        <v>202</v>
      </c>
      <c r="AA16" s="0" t="s">
        <v>202</v>
      </c>
      <c r="AB16" s="0" t="s">
        <v>207</v>
      </c>
      <c r="AC16" s="0" t="s">
        <v>68</v>
      </c>
      <c r="AD16" s="0" t="s">
        <v>86</v>
      </c>
      <c r="AE16" s="0" t="n">
        <v>2762138</v>
      </c>
      <c r="AF16" s="0" t="s">
        <v>208</v>
      </c>
      <c r="AG16" s="0" t="n">
        <v>1</v>
      </c>
      <c r="AH16" s="0" t="n">
        <v>2762138</v>
      </c>
      <c r="AI16" s="0" t="s">
        <v>208</v>
      </c>
      <c r="AJ16" s="0" t="s">
        <v>208</v>
      </c>
      <c r="AK16" s="0" t="s">
        <v>202</v>
      </c>
      <c r="AL16" s="0" t="s">
        <v>205</v>
      </c>
      <c r="AM16" s="0" t="s">
        <v>206</v>
      </c>
      <c r="AN16" s="0" t="s">
        <v>68</v>
      </c>
      <c r="AO16" s="0" t="s">
        <v>64</v>
      </c>
      <c r="AR16" s="0" t="s">
        <v>209</v>
      </c>
      <c r="AS16" s="0" t="s">
        <v>207</v>
      </c>
      <c r="AT16" s="0" t="s">
        <v>210</v>
      </c>
      <c r="AU16" s="2" t="b">
        <f aca="false">TRUE()</f>
        <v>1</v>
      </c>
      <c r="AV16" s="0" t="s">
        <v>202</v>
      </c>
      <c r="AW16" s="0" t="s">
        <v>209</v>
      </c>
      <c r="AX16" s="0" t="s">
        <v>64</v>
      </c>
      <c r="AY16" s="2" t="b">
        <f aca="false">FALSE()</f>
        <v>0</v>
      </c>
      <c r="AZ16" s="2" t="b">
        <f aca="false">FALSE()</f>
        <v>0</v>
      </c>
      <c r="BB16" s="2" t="b">
        <f aca="false">TRUE()</f>
        <v>1</v>
      </c>
      <c r="BC16" s="0" t="s">
        <v>112</v>
      </c>
      <c r="BD16" s="2" t="b">
        <f aca="false">FALSE()</f>
        <v>0</v>
      </c>
    </row>
    <row r="17" customFormat="false" ht="15" hidden="false" customHeight="false" outlineLevel="0" collapsed="false">
      <c r="A17" s="0" t="s">
        <v>211</v>
      </c>
      <c r="B17" s="0" t="s">
        <v>212</v>
      </c>
      <c r="C17" s="0" t="s">
        <v>213</v>
      </c>
      <c r="D17" s="0" t="s">
        <v>214</v>
      </c>
      <c r="E17" s="0" t="s">
        <v>60</v>
      </c>
      <c r="F17" s="0" t="s">
        <v>61</v>
      </c>
      <c r="G17" s="0" t="s">
        <v>62</v>
      </c>
      <c r="H17" s="0" t="s">
        <v>62</v>
      </c>
      <c r="I17" s="0" t="s">
        <v>61</v>
      </c>
      <c r="J17" s="0" t="s">
        <v>62</v>
      </c>
      <c r="K17" s="0" t="s">
        <v>62</v>
      </c>
      <c r="L17" s="0" t="s">
        <v>62</v>
      </c>
      <c r="M17" s="0" t="s">
        <v>62</v>
      </c>
      <c r="N17" s="0" t="s">
        <v>62</v>
      </c>
      <c r="O17" s="0" t="s">
        <v>62</v>
      </c>
      <c r="P17" s="0" t="s">
        <v>62</v>
      </c>
      <c r="Q17" s="0" t="s">
        <v>62</v>
      </c>
      <c r="R17" s="0" t="s">
        <v>63</v>
      </c>
      <c r="S17" s="0" t="s">
        <v>196</v>
      </c>
      <c r="T17" s="0" t="s">
        <v>205</v>
      </c>
      <c r="U17" s="0" t="s">
        <v>215</v>
      </c>
      <c r="Y17" s="0" t="s">
        <v>211</v>
      </c>
      <c r="Z17" s="0" t="s">
        <v>211</v>
      </c>
      <c r="AA17" s="0" t="s">
        <v>211</v>
      </c>
      <c r="AB17" s="0" t="s">
        <v>216</v>
      </c>
      <c r="AC17" s="0" t="s">
        <v>68</v>
      </c>
      <c r="AD17" s="0" t="s">
        <v>69</v>
      </c>
      <c r="AE17" s="0" t="n">
        <v>2762382</v>
      </c>
      <c r="AF17" s="0" t="s">
        <v>217</v>
      </c>
      <c r="AG17" s="0" t="n">
        <v>1</v>
      </c>
      <c r="AH17" s="0" t="n">
        <v>3227669</v>
      </c>
      <c r="AI17" s="0" t="s">
        <v>218</v>
      </c>
      <c r="AJ17" s="0" t="s">
        <v>218</v>
      </c>
      <c r="AK17" s="0" t="s">
        <v>219</v>
      </c>
      <c r="AL17" s="0" t="s">
        <v>220</v>
      </c>
      <c r="AM17" s="0" t="s">
        <v>221</v>
      </c>
      <c r="AN17" s="0" t="s">
        <v>68</v>
      </c>
      <c r="AO17" s="0" t="s">
        <v>64</v>
      </c>
      <c r="AR17" s="0" t="s">
        <v>222</v>
      </c>
      <c r="AS17" s="0" t="s">
        <v>223</v>
      </c>
      <c r="AT17" s="0" t="s">
        <v>224</v>
      </c>
      <c r="AU17" s="2" t="b">
        <f aca="false">TRUE()</f>
        <v>1</v>
      </c>
      <c r="AV17" s="0" t="s">
        <v>219</v>
      </c>
      <c r="AW17" s="0" t="s">
        <v>222</v>
      </c>
      <c r="AX17" s="0" t="s">
        <v>64</v>
      </c>
      <c r="AY17" s="2" t="b">
        <f aca="false">TRUE()</f>
        <v>1</v>
      </c>
      <c r="AZ17" s="2" t="b">
        <f aca="false">FALSE()</f>
        <v>0</v>
      </c>
      <c r="BB17" s="2" t="b">
        <f aca="false">TRUE()</f>
        <v>1</v>
      </c>
      <c r="BC17" s="0" t="s">
        <v>112</v>
      </c>
      <c r="BD17" s="2" t="b">
        <f aca="false">FALSE()</f>
        <v>0</v>
      </c>
    </row>
    <row r="18" customFormat="false" ht="15" hidden="false" customHeight="false" outlineLevel="0" collapsed="false">
      <c r="A18" s="0" t="s">
        <v>225</v>
      </c>
      <c r="B18" s="0" t="s">
        <v>226</v>
      </c>
      <c r="C18" s="0" t="s">
        <v>227</v>
      </c>
      <c r="D18" s="0" t="s">
        <v>228</v>
      </c>
      <c r="E18" s="0" t="s">
        <v>60</v>
      </c>
      <c r="F18" s="0" t="s">
        <v>60</v>
      </c>
      <c r="G18" s="0" t="s">
        <v>60</v>
      </c>
      <c r="H18" s="0" t="s">
        <v>62</v>
      </c>
      <c r="I18" s="0" t="s">
        <v>62</v>
      </c>
      <c r="J18" s="0" t="s">
        <v>62</v>
      </c>
      <c r="K18" s="0" t="s">
        <v>62</v>
      </c>
      <c r="L18" s="0" t="s">
        <v>62</v>
      </c>
      <c r="M18" s="0" t="s">
        <v>62</v>
      </c>
      <c r="N18" s="0" t="s">
        <v>62</v>
      </c>
      <c r="O18" s="0" t="s">
        <v>62</v>
      </c>
      <c r="P18" s="0" t="s">
        <v>61</v>
      </c>
      <c r="Q18" s="0" t="s">
        <v>62</v>
      </c>
      <c r="R18" s="0" t="s">
        <v>63</v>
      </c>
      <c r="S18" s="0" t="s">
        <v>229</v>
      </c>
      <c r="T18" s="0" t="s">
        <v>230</v>
      </c>
      <c r="U18" s="0" t="s">
        <v>231</v>
      </c>
      <c r="Y18" s="0" t="s">
        <v>225</v>
      </c>
      <c r="Z18" s="0" t="s">
        <v>225</v>
      </c>
      <c r="AA18" s="0" t="s">
        <v>225</v>
      </c>
      <c r="AB18" s="0" t="s">
        <v>120</v>
      </c>
      <c r="AC18" s="0" t="s">
        <v>68</v>
      </c>
      <c r="AD18" s="0" t="s">
        <v>86</v>
      </c>
      <c r="AE18" s="0" t="n">
        <v>2810273</v>
      </c>
      <c r="AF18" s="0" t="s">
        <v>232</v>
      </c>
      <c r="AG18" s="0" t="n">
        <v>1</v>
      </c>
      <c r="AH18" s="0" t="n">
        <v>2810273</v>
      </c>
      <c r="AI18" s="0" t="s">
        <v>232</v>
      </c>
      <c r="AJ18" s="0" t="s">
        <v>232</v>
      </c>
      <c r="AK18" s="0" t="s">
        <v>225</v>
      </c>
      <c r="AL18" s="0" t="s">
        <v>230</v>
      </c>
      <c r="AM18" s="0" t="s">
        <v>231</v>
      </c>
      <c r="AN18" s="0" t="s">
        <v>68</v>
      </c>
      <c r="AO18" s="0" t="s">
        <v>229</v>
      </c>
      <c r="AR18" s="0" t="s">
        <v>120</v>
      </c>
      <c r="AS18" s="0" t="s">
        <v>120</v>
      </c>
      <c r="AT18" s="0" t="s">
        <v>12</v>
      </c>
      <c r="AU18" s="2" t="b">
        <f aca="false">TRUE()</f>
        <v>1</v>
      </c>
      <c r="AV18" s="0" t="s">
        <v>225</v>
      </c>
      <c r="AW18" s="0" t="s">
        <v>120</v>
      </c>
      <c r="AX18" s="0" t="s">
        <v>229</v>
      </c>
      <c r="AY18" s="2" t="b">
        <f aca="false">FALSE()</f>
        <v>0</v>
      </c>
      <c r="AZ18" s="2" t="b">
        <f aca="false">FALSE()</f>
        <v>0</v>
      </c>
      <c r="BB18" s="2" t="b">
        <f aca="false">TRUE()</f>
        <v>1</v>
      </c>
      <c r="BC18" s="0" t="s">
        <v>157</v>
      </c>
      <c r="BD18" s="2" t="b">
        <f aca="false">FALSE()</f>
        <v>0</v>
      </c>
    </row>
    <row r="19" customFormat="false" ht="15" hidden="false" customHeight="false" outlineLevel="0" collapsed="false">
      <c r="A19" s="0" t="s">
        <v>233</v>
      </c>
      <c r="B19" s="0" t="s">
        <v>234</v>
      </c>
      <c r="D19" s="0" t="s">
        <v>103</v>
      </c>
      <c r="E19" s="0" t="s">
        <v>60</v>
      </c>
      <c r="F19" s="0" t="s">
        <v>60</v>
      </c>
      <c r="G19" s="0" t="s">
        <v>60</v>
      </c>
      <c r="H19" s="0" t="s">
        <v>62</v>
      </c>
      <c r="I19" s="0" t="s">
        <v>62</v>
      </c>
      <c r="J19" s="0" t="s">
        <v>62</v>
      </c>
      <c r="K19" s="0" t="s">
        <v>62</v>
      </c>
      <c r="L19" s="0" t="s">
        <v>62</v>
      </c>
      <c r="M19" s="0" t="s">
        <v>62</v>
      </c>
      <c r="N19" s="0" t="s">
        <v>62</v>
      </c>
      <c r="O19" s="0" t="s">
        <v>62</v>
      </c>
      <c r="P19" s="0" t="s">
        <v>62</v>
      </c>
      <c r="Q19" s="0" t="s">
        <v>62</v>
      </c>
      <c r="R19" s="0" t="s">
        <v>63</v>
      </c>
      <c r="S19" s="0" t="s">
        <v>235</v>
      </c>
      <c r="T19" s="0" t="s">
        <v>236</v>
      </c>
      <c r="U19" s="0" t="s">
        <v>237</v>
      </c>
      <c r="Y19" s="0" t="s">
        <v>233</v>
      </c>
      <c r="AV19" s="0" t="s">
        <v>233</v>
      </c>
      <c r="AX19" s="0" t="s">
        <v>235</v>
      </c>
      <c r="AY19" s="2" t="b">
        <f aca="false">FALSE()</f>
        <v>0</v>
      </c>
      <c r="AZ19" s="2" t="b">
        <f aca="false">FALSE()</f>
        <v>0</v>
      </c>
      <c r="BB19" s="2" t="b">
        <f aca="false">TRUE()</f>
        <v>1</v>
      </c>
      <c r="BC19" s="0" t="s">
        <v>99</v>
      </c>
      <c r="BD19" s="2" t="b">
        <f aca="false">FALSE()</f>
        <v>0</v>
      </c>
    </row>
    <row r="20" customFormat="false" ht="15" hidden="false" customHeight="false" outlineLevel="0" collapsed="false">
      <c r="A20" s="0" t="s">
        <v>238</v>
      </c>
      <c r="B20" s="0" t="s">
        <v>239</v>
      </c>
      <c r="D20" s="0" t="s">
        <v>103</v>
      </c>
      <c r="E20" s="0" t="s">
        <v>240</v>
      </c>
      <c r="F20" s="0" t="s">
        <v>62</v>
      </c>
      <c r="G20" s="0" t="s">
        <v>61</v>
      </c>
      <c r="H20" s="0" t="s">
        <v>62</v>
      </c>
      <c r="I20" s="0" t="s">
        <v>62</v>
      </c>
      <c r="J20" s="0" t="s">
        <v>61</v>
      </c>
      <c r="K20" s="0" t="s">
        <v>62</v>
      </c>
      <c r="L20" s="0" t="s">
        <v>62</v>
      </c>
      <c r="M20" s="0" t="s">
        <v>62</v>
      </c>
      <c r="N20" s="0" t="s">
        <v>62</v>
      </c>
      <c r="O20" s="0" t="s">
        <v>62</v>
      </c>
      <c r="P20" s="0" t="s">
        <v>62</v>
      </c>
      <c r="Q20" s="0" t="s">
        <v>62</v>
      </c>
      <c r="R20" s="0" t="s">
        <v>63</v>
      </c>
      <c r="S20" s="0" t="s">
        <v>117</v>
      </c>
      <c r="T20" s="0" t="s">
        <v>241</v>
      </c>
      <c r="U20" s="0" t="s">
        <v>242</v>
      </c>
      <c r="Y20" s="0" t="s">
        <v>238</v>
      </c>
      <c r="Z20" s="0" t="s">
        <v>238</v>
      </c>
      <c r="AA20" s="0" t="s">
        <v>243</v>
      </c>
      <c r="AB20" s="0" t="s">
        <v>244</v>
      </c>
      <c r="AC20" s="0" t="s">
        <v>68</v>
      </c>
      <c r="AD20" s="0" t="s">
        <v>86</v>
      </c>
      <c r="AE20" s="0" t="n">
        <v>99488</v>
      </c>
      <c r="AF20" s="0" t="s">
        <v>245</v>
      </c>
      <c r="AG20" s="0" t="n">
        <v>0.96</v>
      </c>
      <c r="AH20" s="0" t="n">
        <v>99488</v>
      </c>
      <c r="AI20" s="0" t="s">
        <v>245</v>
      </c>
      <c r="AJ20" s="0" t="s">
        <v>245</v>
      </c>
      <c r="AK20" s="0" t="s">
        <v>243</v>
      </c>
      <c r="AL20" s="0" t="s">
        <v>241</v>
      </c>
      <c r="AM20" s="0" t="s">
        <v>246</v>
      </c>
      <c r="AN20" s="0" t="s">
        <v>68</v>
      </c>
      <c r="AO20" s="0" t="s">
        <v>117</v>
      </c>
      <c r="AR20" s="0" t="s">
        <v>244</v>
      </c>
      <c r="AS20" s="0" t="s">
        <v>244</v>
      </c>
      <c r="AT20" s="0" t="s">
        <v>9</v>
      </c>
      <c r="AU20" s="2" t="b">
        <f aca="false">FALSE()</f>
        <v>0</v>
      </c>
      <c r="AV20" s="0" t="s">
        <v>243</v>
      </c>
      <c r="AW20" s="0" t="s">
        <v>244</v>
      </c>
      <c r="AX20" s="0" t="s">
        <v>117</v>
      </c>
      <c r="AY20" s="2" t="b">
        <f aca="false">TRUE()</f>
        <v>1</v>
      </c>
      <c r="AZ20" s="2" t="b">
        <f aca="false">FALSE()</f>
        <v>0</v>
      </c>
      <c r="BB20" s="2" t="b">
        <f aca="false">TRUE()</f>
        <v>1</v>
      </c>
      <c r="BC20" s="0" t="s">
        <v>137</v>
      </c>
      <c r="BD20" s="2" t="b">
        <f aca="false">TRUE()</f>
        <v>1</v>
      </c>
    </row>
    <row r="21" customFormat="false" ht="15" hidden="false" customHeight="false" outlineLevel="0" collapsed="false">
      <c r="A21" s="0" t="s">
        <v>247</v>
      </c>
      <c r="B21" s="0" t="s">
        <v>248</v>
      </c>
      <c r="D21" s="0" t="s">
        <v>59</v>
      </c>
      <c r="E21" s="0" t="s">
        <v>60</v>
      </c>
      <c r="F21" s="0" t="s">
        <v>60</v>
      </c>
      <c r="G21" s="0" t="s">
        <v>60</v>
      </c>
      <c r="H21" s="0" t="s">
        <v>62</v>
      </c>
      <c r="I21" s="0" t="s">
        <v>62</v>
      </c>
      <c r="J21" s="0" t="s">
        <v>62</v>
      </c>
      <c r="K21" s="0" t="s">
        <v>62</v>
      </c>
      <c r="L21" s="0" t="s">
        <v>62</v>
      </c>
      <c r="M21" s="0" t="s">
        <v>62</v>
      </c>
      <c r="N21" s="0" t="s">
        <v>62</v>
      </c>
      <c r="O21" s="0" t="s">
        <v>62</v>
      </c>
      <c r="P21" s="0" t="s">
        <v>62</v>
      </c>
      <c r="Q21" s="0" t="s">
        <v>62</v>
      </c>
      <c r="R21" s="0" t="s">
        <v>63</v>
      </c>
      <c r="S21" s="0" t="s">
        <v>141</v>
      </c>
      <c r="T21" s="0" t="s">
        <v>249</v>
      </c>
      <c r="U21" s="0" t="s">
        <v>250</v>
      </c>
      <c r="Y21" s="0" t="s">
        <v>247</v>
      </c>
      <c r="Z21" s="0" t="s">
        <v>247</v>
      </c>
      <c r="AA21" s="0" t="s">
        <v>247</v>
      </c>
      <c r="AB21" s="0" t="s">
        <v>251</v>
      </c>
      <c r="AC21" s="0" t="s">
        <v>68</v>
      </c>
      <c r="AD21" s="0" t="s">
        <v>69</v>
      </c>
      <c r="AE21" s="0" t="n">
        <v>421991</v>
      </c>
      <c r="AF21" s="0" t="s">
        <v>252</v>
      </c>
      <c r="AG21" s="0" t="n">
        <v>1</v>
      </c>
      <c r="AH21" s="0" t="n">
        <v>421976</v>
      </c>
      <c r="AI21" s="0" t="s">
        <v>253</v>
      </c>
      <c r="AJ21" s="0" t="s">
        <v>253</v>
      </c>
      <c r="AK21" s="0" t="s">
        <v>254</v>
      </c>
      <c r="AL21" s="0" t="s">
        <v>249</v>
      </c>
      <c r="AM21" s="0" t="s">
        <v>255</v>
      </c>
      <c r="AN21" s="0" t="s">
        <v>68</v>
      </c>
      <c r="AO21" s="0" t="s">
        <v>141</v>
      </c>
      <c r="AR21" s="0" t="s">
        <v>256</v>
      </c>
      <c r="AS21" s="0" t="s">
        <v>257</v>
      </c>
      <c r="AT21" s="0" t="s">
        <v>136</v>
      </c>
      <c r="AU21" s="2" t="b">
        <f aca="false">TRUE()</f>
        <v>1</v>
      </c>
      <c r="AV21" s="0" t="s">
        <v>254</v>
      </c>
      <c r="AW21" s="0" t="s">
        <v>256</v>
      </c>
      <c r="AX21" s="0" t="s">
        <v>141</v>
      </c>
      <c r="AY21" s="2" t="b">
        <f aca="false">TRUE()</f>
        <v>1</v>
      </c>
      <c r="AZ21" s="2" t="b">
        <f aca="false">FALSE()</f>
        <v>0</v>
      </c>
      <c r="BB21" s="2" t="b">
        <f aca="false">TRUE()</f>
        <v>1</v>
      </c>
      <c r="BC21" s="0" t="s">
        <v>99</v>
      </c>
      <c r="BD21" s="2" t="b">
        <f aca="false">FALSE()</f>
        <v>0</v>
      </c>
    </row>
    <row r="22" customFormat="false" ht="15" hidden="false" customHeight="false" outlineLevel="0" collapsed="false">
      <c r="A22" s="0" t="s">
        <v>258</v>
      </c>
      <c r="B22" s="0" t="s">
        <v>259</v>
      </c>
      <c r="C22" s="0" t="s">
        <v>260</v>
      </c>
      <c r="D22" s="0" t="s">
        <v>59</v>
      </c>
      <c r="E22" s="0" t="s">
        <v>261</v>
      </c>
      <c r="F22" s="0" t="s">
        <v>61</v>
      </c>
      <c r="G22" s="0" t="s">
        <v>62</v>
      </c>
      <c r="H22" s="0" t="s">
        <v>62</v>
      </c>
      <c r="I22" s="0" t="s">
        <v>61</v>
      </c>
      <c r="J22" s="0" t="s">
        <v>62</v>
      </c>
      <c r="K22" s="0" t="s">
        <v>62</v>
      </c>
      <c r="L22" s="0" t="s">
        <v>62</v>
      </c>
      <c r="M22" s="0" t="s">
        <v>62</v>
      </c>
      <c r="N22" s="0" t="s">
        <v>62</v>
      </c>
      <c r="O22" s="0" t="s">
        <v>62</v>
      </c>
      <c r="P22" s="0" t="s">
        <v>62</v>
      </c>
      <c r="Q22" s="0" t="s">
        <v>62</v>
      </c>
      <c r="R22" s="0" t="s">
        <v>63</v>
      </c>
      <c r="S22" s="0" t="s">
        <v>130</v>
      </c>
      <c r="T22" s="0" t="s">
        <v>262</v>
      </c>
      <c r="U22" s="0" t="s">
        <v>263</v>
      </c>
      <c r="Y22" s="0" t="s">
        <v>258</v>
      </c>
      <c r="Z22" s="0" t="s">
        <v>258</v>
      </c>
      <c r="AA22" s="0" t="s">
        <v>258</v>
      </c>
      <c r="AB22" s="0" t="s">
        <v>264</v>
      </c>
      <c r="AC22" s="0" t="s">
        <v>68</v>
      </c>
      <c r="AD22" s="0" t="s">
        <v>86</v>
      </c>
      <c r="AE22" s="0" t="n">
        <v>3051383</v>
      </c>
      <c r="AF22" s="0" t="s">
        <v>265</v>
      </c>
      <c r="AG22" s="0" t="n">
        <v>1</v>
      </c>
      <c r="AH22" s="0" t="n">
        <v>3051383</v>
      </c>
      <c r="AI22" s="0" t="s">
        <v>265</v>
      </c>
      <c r="AJ22" s="0" t="s">
        <v>265</v>
      </c>
      <c r="AK22" s="0" t="s">
        <v>258</v>
      </c>
      <c r="AL22" s="0" t="s">
        <v>262</v>
      </c>
      <c r="AM22" s="0" t="s">
        <v>263</v>
      </c>
      <c r="AN22" s="0" t="s">
        <v>68</v>
      </c>
      <c r="AO22" s="0" t="s">
        <v>130</v>
      </c>
      <c r="AR22" s="0" t="s">
        <v>266</v>
      </c>
      <c r="AS22" s="0" t="s">
        <v>264</v>
      </c>
      <c r="AT22" s="0" t="s">
        <v>267</v>
      </c>
      <c r="AU22" s="2" t="b">
        <f aca="false">TRUE()</f>
        <v>1</v>
      </c>
      <c r="AV22" s="0" t="s">
        <v>258</v>
      </c>
      <c r="AW22" s="0" t="s">
        <v>266</v>
      </c>
      <c r="AX22" s="0" t="s">
        <v>130</v>
      </c>
      <c r="AY22" s="2" t="b">
        <f aca="false">FALSE()</f>
        <v>0</v>
      </c>
      <c r="AZ22" s="2" t="b">
        <f aca="false">FALSE()</f>
        <v>0</v>
      </c>
      <c r="BB22" s="2" t="b">
        <f aca="false">TRUE()</f>
        <v>1</v>
      </c>
      <c r="BC22" s="0" t="s">
        <v>112</v>
      </c>
      <c r="BD22" s="2" t="b">
        <f aca="false">FALSE()</f>
        <v>0</v>
      </c>
    </row>
    <row r="23" customFormat="false" ht="15" hidden="false" customHeight="false" outlineLevel="0" collapsed="false">
      <c r="A23" s="0" t="s">
        <v>268</v>
      </c>
      <c r="B23" s="0" t="s">
        <v>269</v>
      </c>
      <c r="D23" s="0" t="s">
        <v>103</v>
      </c>
      <c r="E23" s="0" t="s">
        <v>60</v>
      </c>
      <c r="F23" s="0" t="s">
        <v>60</v>
      </c>
      <c r="G23" s="0" t="s">
        <v>60</v>
      </c>
      <c r="H23" s="0" t="s">
        <v>62</v>
      </c>
      <c r="I23" s="0" t="s">
        <v>62</v>
      </c>
      <c r="J23" s="0" t="s">
        <v>62</v>
      </c>
      <c r="K23" s="0" t="s">
        <v>62</v>
      </c>
      <c r="L23" s="0" t="s">
        <v>62</v>
      </c>
      <c r="M23" s="0" t="s">
        <v>62</v>
      </c>
      <c r="N23" s="0" t="s">
        <v>62</v>
      </c>
      <c r="O23" s="0" t="s">
        <v>62</v>
      </c>
      <c r="P23" s="0" t="s">
        <v>62</v>
      </c>
      <c r="Q23" s="0" t="s">
        <v>62</v>
      </c>
      <c r="R23" s="0" t="s">
        <v>63</v>
      </c>
      <c r="S23" s="0" t="s">
        <v>270</v>
      </c>
      <c r="T23" s="0" t="s">
        <v>271</v>
      </c>
      <c r="U23" s="0" t="s">
        <v>272</v>
      </c>
      <c r="Y23" s="0" t="s">
        <v>268</v>
      </c>
      <c r="Z23" s="0" t="s">
        <v>268</v>
      </c>
      <c r="AA23" s="0" t="s">
        <v>268</v>
      </c>
      <c r="AB23" s="0" t="s">
        <v>273</v>
      </c>
      <c r="AC23" s="0" t="s">
        <v>68</v>
      </c>
      <c r="AD23" s="0" t="s">
        <v>86</v>
      </c>
      <c r="AE23" s="0" t="n">
        <v>2508536</v>
      </c>
      <c r="AF23" s="0" t="s">
        <v>274</v>
      </c>
      <c r="AG23" s="0" t="n">
        <v>1</v>
      </c>
      <c r="AH23" s="0" t="n">
        <v>2508536</v>
      </c>
      <c r="AI23" s="0" t="s">
        <v>274</v>
      </c>
      <c r="AJ23" s="0" t="s">
        <v>274</v>
      </c>
      <c r="AK23" s="0" t="s">
        <v>268</v>
      </c>
      <c r="AL23" s="0" t="s">
        <v>271</v>
      </c>
      <c r="AM23" s="0" t="s">
        <v>272</v>
      </c>
      <c r="AN23" s="0" t="s">
        <v>68</v>
      </c>
      <c r="AO23" s="0" t="s">
        <v>275</v>
      </c>
      <c r="AR23" s="0" t="s">
        <v>273</v>
      </c>
      <c r="AS23" s="0" t="s">
        <v>273</v>
      </c>
      <c r="AT23" s="0" t="s">
        <v>224</v>
      </c>
      <c r="AU23" s="2" t="b">
        <f aca="false">TRUE()</f>
        <v>1</v>
      </c>
      <c r="AV23" s="0" t="s">
        <v>268</v>
      </c>
      <c r="AW23" s="0" t="s">
        <v>273</v>
      </c>
      <c r="AX23" s="0" t="s">
        <v>275</v>
      </c>
      <c r="AY23" s="2" t="b">
        <f aca="false">FALSE()</f>
        <v>0</v>
      </c>
      <c r="AZ23" s="2" t="b">
        <f aca="false">FALSE()</f>
        <v>0</v>
      </c>
      <c r="BB23" s="2" t="b">
        <f aca="false">TRUE()</f>
        <v>1</v>
      </c>
      <c r="BC23" s="0" t="s">
        <v>99</v>
      </c>
      <c r="BD23" s="2" t="b">
        <f aca="false">FALSE()</f>
        <v>0</v>
      </c>
    </row>
    <row r="24" customFormat="false" ht="15" hidden="false" customHeight="false" outlineLevel="0" collapsed="false">
      <c r="A24" s="0" t="s">
        <v>276</v>
      </c>
      <c r="B24" s="0" t="s">
        <v>277</v>
      </c>
      <c r="D24" s="0" t="s">
        <v>103</v>
      </c>
      <c r="E24" s="0" t="s">
        <v>60</v>
      </c>
      <c r="F24" s="0" t="s">
        <v>62</v>
      </c>
      <c r="G24" s="0" t="s">
        <v>61</v>
      </c>
      <c r="H24" s="0" t="s">
        <v>62</v>
      </c>
      <c r="I24" s="0" t="s">
        <v>62</v>
      </c>
      <c r="J24" s="0" t="s">
        <v>62</v>
      </c>
      <c r="K24" s="0" t="s">
        <v>62</v>
      </c>
      <c r="L24" s="0" t="s">
        <v>62</v>
      </c>
      <c r="M24" s="0" t="s">
        <v>61</v>
      </c>
      <c r="N24" s="0" t="s">
        <v>62</v>
      </c>
      <c r="O24" s="0" t="s">
        <v>62</v>
      </c>
      <c r="P24" s="0" t="s">
        <v>62</v>
      </c>
      <c r="Q24" s="0" t="s">
        <v>62</v>
      </c>
      <c r="R24" s="0" t="s">
        <v>63</v>
      </c>
      <c r="S24" s="0" t="s">
        <v>196</v>
      </c>
      <c r="T24" s="0" t="s">
        <v>278</v>
      </c>
      <c r="U24" s="0" t="s">
        <v>279</v>
      </c>
      <c r="Y24" s="0" t="s">
        <v>276</v>
      </c>
      <c r="Z24" s="0" t="s">
        <v>276</v>
      </c>
      <c r="AA24" s="0" t="s">
        <v>280</v>
      </c>
      <c r="AB24" s="0" t="s">
        <v>281</v>
      </c>
      <c r="AC24" s="0" t="s">
        <v>68</v>
      </c>
      <c r="AD24" s="0" t="s">
        <v>86</v>
      </c>
      <c r="AE24" s="0" t="n">
        <v>2375220</v>
      </c>
      <c r="AF24" s="0" t="s">
        <v>282</v>
      </c>
      <c r="AG24" s="0" t="n">
        <v>0.889</v>
      </c>
      <c r="AH24" s="0" t="n">
        <v>2375220</v>
      </c>
      <c r="AI24" s="0" t="s">
        <v>282</v>
      </c>
      <c r="AJ24" s="0" t="s">
        <v>282</v>
      </c>
      <c r="AK24" s="0" t="s">
        <v>280</v>
      </c>
      <c r="AL24" s="0" t="s">
        <v>283</v>
      </c>
      <c r="AM24" s="0" t="s">
        <v>279</v>
      </c>
      <c r="AN24" s="0" t="s">
        <v>68</v>
      </c>
      <c r="AO24" s="0" t="s">
        <v>64</v>
      </c>
      <c r="AR24" s="0" t="s">
        <v>284</v>
      </c>
      <c r="AS24" s="0" t="s">
        <v>281</v>
      </c>
      <c r="AT24" s="0" t="s">
        <v>12</v>
      </c>
      <c r="AU24" s="2" t="b">
        <f aca="false">FALSE()</f>
        <v>0</v>
      </c>
      <c r="AV24" s="0" t="s">
        <v>276</v>
      </c>
      <c r="AX24" s="0" t="s">
        <v>196</v>
      </c>
      <c r="AY24" s="2" t="b">
        <f aca="false">FALSE()</f>
        <v>0</v>
      </c>
      <c r="AZ24" s="2" t="b">
        <f aca="false">TRUE()</f>
        <v>1</v>
      </c>
      <c r="BB24" s="2" t="b">
        <f aca="false">TRUE()</f>
        <v>1</v>
      </c>
      <c r="BC24" s="0" t="s">
        <v>285</v>
      </c>
      <c r="BD24" s="2" t="b">
        <f aca="false">TRUE()</f>
        <v>1</v>
      </c>
    </row>
    <row r="25" customFormat="false" ht="15" hidden="false" customHeight="false" outlineLevel="0" collapsed="false">
      <c r="A25" s="0" t="s">
        <v>286</v>
      </c>
      <c r="B25" s="0" t="s">
        <v>287</v>
      </c>
      <c r="D25" s="0" t="s">
        <v>59</v>
      </c>
      <c r="E25" s="0" t="s">
        <v>288</v>
      </c>
      <c r="F25" s="0" t="s">
        <v>62</v>
      </c>
      <c r="G25" s="0" t="s">
        <v>61</v>
      </c>
      <c r="H25" s="0" t="s">
        <v>62</v>
      </c>
      <c r="I25" s="0" t="s">
        <v>62</v>
      </c>
      <c r="J25" s="0" t="s">
        <v>62</v>
      </c>
      <c r="K25" s="0" t="s">
        <v>61</v>
      </c>
      <c r="L25" s="0" t="s">
        <v>62</v>
      </c>
      <c r="M25" s="0" t="s">
        <v>62</v>
      </c>
      <c r="N25" s="0" t="s">
        <v>62</v>
      </c>
      <c r="O25" s="0" t="s">
        <v>62</v>
      </c>
      <c r="P25" s="0" t="s">
        <v>62</v>
      </c>
      <c r="Q25" s="0" t="s">
        <v>62</v>
      </c>
      <c r="R25" s="0" t="s">
        <v>63</v>
      </c>
      <c r="S25" s="0" t="s">
        <v>289</v>
      </c>
      <c r="T25" s="0" t="s">
        <v>290</v>
      </c>
      <c r="U25" s="0" t="s">
        <v>291</v>
      </c>
      <c r="Y25" s="0" t="s">
        <v>286</v>
      </c>
      <c r="Z25" s="0" t="s">
        <v>286</v>
      </c>
      <c r="AA25" s="0" t="s">
        <v>286</v>
      </c>
      <c r="AB25" s="0" t="s">
        <v>292</v>
      </c>
      <c r="AC25" s="0" t="s">
        <v>68</v>
      </c>
      <c r="AD25" s="0" t="s">
        <v>69</v>
      </c>
      <c r="AE25" s="0" t="n">
        <v>2383770</v>
      </c>
      <c r="AF25" s="0" t="s">
        <v>293</v>
      </c>
      <c r="AG25" s="0" t="n">
        <v>1</v>
      </c>
      <c r="AH25" s="0" t="n">
        <v>3009176</v>
      </c>
      <c r="AI25" s="0" t="s">
        <v>294</v>
      </c>
      <c r="AJ25" s="0" t="s">
        <v>294</v>
      </c>
      <c r="AK25" s="0" t="s">
        <v>295</v>
      </c>
      <c r="AL25" s="0" t="s">
        <v>296</v>
      </c>
      <c r="AM25" s="0" t="s">
        <v>297</v>
      </c>
      <c r="AN25" s="0" t="s">
        <v>68</v>
      </c>
      <c r="AO25" s="0" t="s">
        <v>289</v>
      </c>
      <c r="AR25" s="0" t="s">
        <v>298</v>
      </c>
      <c r="AS25" s="0" t="s">
        <v>299</v>
      </c>
      <c r="AT25" s="0" t="s">
        <v>12</v>
      </c>
      <c r="AU25" s="2" t="b">
        <f aca="false">TRUE()</f>
        <v>1</v>
      </c>
      <c r="AV25" s="0" t="s">
        <v>295</v>
      </c>
      <c r="AW25" s="0" t="s">
        <v>298</v>
      </c>
      <c r="AX25" s="0" t="s">
        <v>289</v>
      </c>
      <c r="AY25" s="2" t="b">
        <f aca="false">TRUE()</f>
        <v>1</v>
      </c>
      <c r="AZ25" s="2" t="b">
        <f aca="false">FALSE()</f>
        <v>0</v>
      </c>
      <c r="BB25" s="2" t="b">
        <f aca="false">TRUE()</f>
        <v>1</v>
      </c>
      <c r="BC25" s="0" t="s">
        <v>89</v>
      </c>
      <c r="BD25" s="2" t="b">
        <f aca="false">TRUE()</f>
        <v>1</v>
      </c>
    </row>
    <row r="26" customFormat="false" ht="15" hidden="false" customHeight="false" outlineLevel="0" collapsed="false">
      <c r="A26" s="0" t="s">
        <v>300</v>
      </c>
      <c r="B26" s="0" t="s">
        <v>301</v>
      </c>
      <c r="D26" s="0" t="s">
        <v>60</v>
      </c>
      <c r="E26" s="0" t="s">
        <v>60</v>
      </c>
      <c r="F26" s="0" t="s">
        <v>62</v>
      </c>
      <c r="G26" s="0" t="s">
        <v>61</v>
      </c>
      <c r="H26" s="0" t="s">
        <v>62</v>
      </c>
      <c r="I26" s="0" t="s">
        <v>62</v>
      </c>
      <c r="J26" s="0" t="s">
        <v>62</v>
      </c>
      <c r="K26" s="0" t="s">
        <v>62</v>
      </c>
      <c r="L26" s="0" t="s">
        <v>62</v>
      </c>
      <c r="M26" s="0" t="s">
        <v>61</v>
      </c>
      <c r="N26" s="0" t="s">
        <v>62</v>
      </c>
      <c r="O26" s="0" t="s">
        <v>62</v>
      </c>
      <c r="P26" s="0" t="s">
        <v>62</v>
      </c>
      <c r="Q26" s="0" t="s">
        <v>62</v>
      </c>
      <c r="R26" s="0" t="s">
        <v>63</v>
      </c>
      <c r="S26" s="0" t="s">
        <v>302</v>
      </c>
      <c r="T26" s="0" t="s">
        <v>303</v>
      </c>
      <c r="U26" s="0" t="s">
        <v>304</v>
      </c>
      <c r="Y26" s="0" t="s">
        <v>300</v>
      </c>
      <c r="Z26" s="0" t="s">
        <v>300</v>
      </c>
      <c r="AA26" s="0" t="s">
        <v>305</v>
      </c>
      <c r="AB26" s="0" t="s">
        <v>306</v>
      </c>
      <c r="AC26" s="0" t="s">
        <v>68</v>
      </c>
      <c r="AD26" s="0" t="s">
        <v>86</v>
      </c>
      <c r="AE26" s="0" t="n">
        <v>318066</v>
      </c>
      <c r="AF26" s="0" t="s">
        <v>307</v>
      </c>
      <c r="AG26" s="0" t="n">
        <v>0.808</v>
      </c>
      <c r="AH26" s="0" t="n">
        <v>318066</v>
      </c>
      <c r="AI26" s="0" t="s">
        <v>307</v>
      </c>
      <c r="AJ26" s="0" t="s">
        <v>307</v>
      </c>
      <c r="AK26" s="0" t="s">
        <v>305</v>
      </c>
      <c r="AL26" s="0" t="s">
        <v>308</v>
      </c>
      <c r="AM26" s="0" t="s">
        <v>304</v>
      </c>
      <c r="AN26" s="0" t="s">
        <v>68</v>
      </c>
      <c r="AO26" s="0" t="s">
        <v>302</v>
      </c>
      <c r="AR26" s="0" t="s">
        <v>306</v>
      </c>
      <c r="AS26" s="0" t="s">
        <v>306</v>
      </c>
      <c r="AT26" s="0" t="s">
        <v>12</v>
      </c>
      <c r="AU26" s="2" t="b">
        <f aca="false">FALSE()</f>
        <v>0</v>
      </c>
      <c r="AV26" s="0" t="s">
        <v>300</v>
      </c>
      <c r="AX26" s="0" t="s">
        <v>302</v>
      </c>
      <c r="AY26" s="2" t="b">
        <f aca="false">FALSE()</f>
        <v>0</v>
      </c>
      <c r="AZ26" s="2" t="b">
        <f aca="false">TRUE()</f>
        <v>1</v>
      </c>
      <c r="BB26" s="2" t="b">
        <f aca="false">TRUE()</f>
        <v>1</v>
      </c>
      <c r="BC26" s="0" t="s">
        <v>285</v>
      </c>
      <c r="BD26" s="2" t="b">
        <f aca="false">TRUE()</f>
        <v>1</v>
      </c>
    </row>
    <row r="27" customFormat="false" ht="15" hidden="false" customHeight="false" outlineLevel="0" collapsed="false">
      <c r="A27" s="0" t="s">
        <v>309</v>
      </c>
      <c r="B27" s="0" t="s">
        <v>310</v>
      </c>
      <c r="C27" s="0" t="s">
        <v>311</v>
      </c>
      <c r="D27" s="0" t="s">
        <v>59</v>
      </c>
      <c r="E27" s="0" t="s">
        <v>60</v>
      </c>
      <c r="F27" s="0" t="s">
        <v>60</v>
      </c>
      <c r="G27" s="0" t="s">
        <v>60</v>
      </c>
      <c r="H27" s="0" t="s">
        <v>62</v>
      </c>
      <c r="I27" s="0" t="s">
        <v>62</v>
      </c>
      <c r="J27" s="0" t="s">
        <v>62</v>
      </c>
      <c r="K27" s="0" t="s">
        <v>62</v>
      </c>
      <c r="L27" s="0" t="s">
        <v>62</v>
      </c>
      <c r="M27" s="0" t="s">
        <v>62</v>
      </c>
      <c r="N27" s="0" t="s">
        <v>62</v>
      </c>
      <c r="O27" s="0" t="s">
        <v>62</v>
      </c>
      <c r="P27" s="0" t="s">
        <v>61</v>
      </c>
      <c r="Q27" s="0" t="s">
        <v>62</v>
      </c>
      <c r="R27" s="0" t="s">
        <v>63</v>
      </c>
      <c r="S27" s="0" t="s">
        <v>98</v>
      </c>
      <c r="T27" s="0" t="s">
        <v>312</v>
      </c>
      <c r="U27" s="0" t="s">
        <v>313</v>
      </c>
      <c r="Y27" s="0" t="s">
        <v>309</v>
      </c>
      <c r="Z27" s="0" t="s">
        <v>309</v>
      </c>
      <c r="AA27" s="0" t="s">
        <v>309</v>
      </c>
      <c r="AB27" s="0" t="s">
        <v>314</v>
      </c>
      <c r="AC27" s="0" t="s">
        <v>68</v>
      </c>
      <c r="AD27" s="0" t="s">
        <v>86</v>
      </c>
      <c r="AE27" s="0" t="n">
        <v>151605</v>
      </c>
      <c r="AF27" s="0" t="s">
        <v>315</v>
      </c>
      <c r="AG27" s="0" t="n">
        <v>1</v>
      </c>
      <c r="AH27" s="0" t="n">
        <v>151605</v>
      </c>
      <c r="AI27" s="0" t="s">
        <v>315</v>
      </c>
      <c r="AJ27" s="0" t="s">
        <v>315</v>
      </c>
      <c r="AK27" s="0" t="s">
        <v>309</v>
      </c>
      <c r="AL27" s="0" t="s">
        <v>312</v>
      </c>
      <c r="AM27" s="0" t="s">
        <v>313</v>
      </c>
      <c r="AN27" s="0" t="s">
        <v>68</v>
      </c>
      <c r="AO27" s="0" t="s">
        <v>98</v>
      </c>
      <c r="AR27" s="0" t="s">
        <v>316</v>
      </c>
      <c r="AS27" s="0" t="s">
        <v>314</v>
      </c>
      <c r="AT27" s="0" t="s">
        <v>14</v>
      </c>
      <c r="AU27" s="2" t="b">
        <f aca="false">TRUE()</f>
        <v>1</v>
      </c>
      <c r="AV27" s="0" t="s">
        <v>309</v>
      </c>
      <c r="AW27" s="0" t="s">
        <v>316</v>
      </c>
      <c r="AX27" s="0" t="s">
        <v>98</v>
      </c>
      <c r="AY27" s="2" t="b">
        <f aca="false">FALSE()</f>
        <v>0</v>
      </c>
      <c r="AZ27" s="2" t="b">
        <f aca="false">FALSE()</f>
        <v>0</v>
      </c>
      <c r="BB27" s="2" t="b">
        <f aca="false">TRUE()</f>
        <v>1</v>
      </c>
      <c r="BC27" s="0" t="s">
        <v>157</v>
      </c>
      <c r="BD27" s="2" t="b">
        <f aca="false">FALSE()</f>
        <v>0</v>
      </c>
    </row>
    <row r="28" customFormat="false" ht="15" hidden="false" customHeight="false" outlineLevel="0" collapsed="false">
      <c r="A28" s="0" t="s">
        <v>317</v>
      </c>
      <c r="B28" s="0" t="s">
        <v>318</v>
      </c>
      <c r="D28" s="0" t="s">
        <v>59</v>
      </c>
      <c r="E28" s="0" t="s">
        <v>60</v>
      </c>
      <c r="F28" s="0" t="s">
        <v>60</v>
      </c>
      <c r="G28" s="0" t="s">
        <v>60</v>
      </c>
      <c r="H28" s="0" t="s">
        <v>62</v>
      </c>
      <c r="I28" s="0" t="s">
        <v>62</v>
      </c>
      <c r="J28" s="0" t="s">
        <v>62</v>
      </c>
      <c r="K28" s="0" t="s">
        <v>62</v>
      </c>
      <c r="L28" s="0" t="s">
        <v>62</v>
      </c>
      <c r="M28" s="0" t="s">
        <v>62</v>
      </c>
      <c r="N28" s="0" t="s">
        <v>62</v>
      </c>
      <c r="O28" s="0" t="s">
        <v>62</v>
      </c>
      <c r="P28" s="0" t="s">
        <v>61</v>
      </c>
      <c r="Q28" s="0" t="s">
        <v>62</v>
      </c>
      <c r="R28" s="0" t="s">
        <v>63</v>
      </c>
      <c r="S28" s="0" t="s">
        <v>98</v>
      </c>
      <c r="T28" s="0" t="s">
        <v>312</v>
      </c>
      <c r="U28" s="0" t="s">
        <v>319</v>
      </c>
      <c r="Y28" s="0" t="s">
        <v>317</v>
      </c>
      <c r="Z28" s="0" t="s">
        <v>317</v>
      </c>
      <c r="AA28" s="0" t="s">
        <v>317</v>
      </c>
      <c r="AB28" s="0" t="s">
        <v>320</v>
      </c>
      <c r="AC28" s="0" t="s">
        <v>68</v>
      </c>
      <c r="AD28" s="0" t="s">
        <v>86</v>
      </c>
      <c r="AE28" s="0" t="n">
        <v>151632</v>
      </c>
      <c r="AF28" s="0" t="s">
        <v>321</v>
      </c>
      <c r="AG28" s="0" t="n">
        <v>1</v>
      </c>
      <c r="AH28" s="0" t="n">
        <v>151632</v>
      </c>
      <c r="AI28" s="0" t="s">
        <v>321</v>
      </c>
      <c r="AJ28" s="0" t="s">
        <v>321</v>
      </c>
      <c r="AK28" s="0" t="s">
        <v>317</v>
      </c>
      <c r="AL28" s="0" t="s">
        <v>312</v>
      </c>
      <c r="AM28" s="0" t="s">
        <v>319</v>
      </c>
      <c r="AN28" s="0" t="s">
        <v>68</v>
      </c>
      <c r="AO28" s="0" t="s">
        <v>98</v>
      </c>
      <c r="AR28" s="0" t="s">
        <v>320</v>
      </c>
      <c r="AS28" s="0" t="s">
        <v>320</v>
      </c>
      <c r="AT28" s="0" t="s">
        <v>5</v>
      </c>
      <c r="AU28" s="2" t="b">
        <f aca="false">TRUE()</f>
        <v>1</v>
      </c>
      <c r="AV28" s="0" t="s">
        <v>317</v>
      </c>
      <c r="AW28" s="0" t="s">
        <v>320</v>
      </c>
      <c r="AX28" s="0" t="s">
        <v>98</v>
      </c>
      <c r="AY28" s="2" t="b">
        <f aca="false">FALSE()</f>
        <v>0</v>
      </c>
      <c r="AZ28" s="2" t="b">
        <f aca="false">FALSE()</f>
        <v>0</v>
      </c>
      <c r="BB28" s="2" t="b">
        <f aca="false">TRUE()</f>
        <v>1</v>
      </c>
      <c r="BC28" s="0" t="s">
        <v>157</v>
      </c>
      <c r="BD28" s="2" t="b">
        <f aca="false">FALSE()</f>
        <v>0</v>
      </c>
    </row>
    <row r="29" customFormat="false" ht="15" hidden="false" customHeight="false" outlineLevel="0" collapsed="false">
      <c r="A29" s="0" t="s">
        <v>322</v>
      </c>
      <c r="B29" s="0" t="s">
        <v>323</v>
      </c>
      <c r="D29" s="0" t="s">
        <v>59</v>
      </c>
      <c r="E29" s="0" t="s">
        <v>324</v>
      </c>
      <c r="F29" s="0" t="s">
        <v>61</v>
      </c>
      <c r="G29" s="0" t="s">
        <v>62</v>
      </c>
      <c r="H29" s="0" t="s">
        <v>62</v>
      </c>
      <c r="I29" s="0" t="s">
        <v>61</v>
      </c>
      <c r="J29" s="0" t="s">
        <v>62</v>
      </c>
      <c r="K29" s="0" t="s">
        <v>62</v>
      </c>
      <c r="L29" s="0" t="s">
        <v>62</v>
      </c>
      <c r="M29" s="0" t="s">
        <v>62</v>
      </c>
      <c r="N29" s="0" t="s">
        <v>62</v>
      </c>
      <c r="O29" s="0" t="s">
        <v>62</v>
      </c>
      <c r="P29" s="0" t="s">
        <v>62</v>
      </c>
      <c r="Q29" s="0" t="s">
        <v>62</v>
      </c>
      <c r="R29" s="0" t="s">
        <v>63</v>
      </c>
      <c r="S29" s="0" t="s">
        <v>98</v>
      </c>
      <c r="T29" s="0" t="s">
        <v>312</v>
      </c>
      <c r="U29" s="0" t="s">
        <v>325</v>
      </c>
      <c r="Y29" s="0" t="s">
        <v>322</v>
      </c>
      <c r="Z29" s="0" t="s">
        <v>322</v>
      </c>
      <c r="AA29" s="0" t="s">
        <v>322</v>
      </c>
      <c r="AB29" s="0" t="s">
        <v>326</v>
      </c>
      <c r="AC29" s="0" t="s">
        <v>68</v>
      </c>
      <c r="AD29" s="0" t="s">
        <v>86</v>
      </c>
      <c r="AE29" s="0" t="n">
        <v>151646</v>
      </c>
      <c r="AF29" s="0" t="s">
        <v>327</v>
      </c>
      <c r="AG29" s="0" t="n">
        <v>1</v>
      </c>
      <c r="AH29" s="0" t="n">
        <v>151646</v>
      </c>
      <c r="AI29" s="0" t="s">
        <v>327</v>
      </c>
      <c r="AJ29" s="0" t="s">
        <v>327</v>
      </c>
      <c r="AK29" s="0" t="s">
        <v>322</v>
      </c>
      <c r="AL29" s="0" t="s">
        <v>312</v>
      </c>
      <c r="AM29" s="0" t="s">
        <v>325</v>
      </c>
      <c r="AN29" s="0" t="s">
        <v>68</v>
      </c>
      <c r="AO29" s="0" t="s">
        <v>98</v>
      </c>
      <c r="AR29" s="0" t="s">
        <v>95</v>
      </c>
      <c r="AS29" s="0" t="s">
        <v>326</v>
      </c>
      <c r="AT29" s="0" t="s">
        <v>14</v>
      </c>
      <c r="AU29" s="2" t="b">
        <f aca="false">TRUE()</f>
        <v>1</v>
      </c>
      <c r="AV29" s="0" t="s">
        <v>322</v>
      </c>
      <c r="AW29" s="0" t="s">
        <v>95</v>
      </c>
      <c r="AX29" s="0" t="s">
        <v>98</v>
      </c>
      <c r="AY29" s="2" t="b">
        <f aca="false">FALSE()</f>
        <v>0</v>
      </c>
      <c r="AZ29" s="2" t="b">
        <f aca="false">FALSE()</f>
        <v>0</v>
      </c>
      <c r="BB29" s="2" t="b">
        <f aca="false">TRUE()</f>
        <v>1</v>
      </c>
      <c r="BC29" s="0" t="s">
        <v>112</v>
      </c>
      <c r="BD29" s="2" t="b">
        <f aca="false">FALSE()</f>
        <v>0</v>
      </c>
    </row>
    <row r="30" customFormat="false" ht="15" hidden="false" customHeight="false" outlineLevel="0" collapsed="false">
      <c r="A30" s="0" t="s">
        <v>328</v>
      </c>
      <c r="B30" s="0" t="s">
        <v>329</v>
      </c>
      <c r="D30" s="0" t="s">
        <v>59</v>
      </c>
      <c r="E30" s="0" t="s">
        <v>60</v>
      </c>
      <c r="F30" s="0" t="s">
        <v>60</v>
      </c>
      <c r="G30" s="0" t="s">
        <v>60</v>
      </c>
      <c r="H30" s="0" t="s">
        <v>62</v>
      </c>
      <c r="I30" s="0" t="s">
        <v>62</v>
      </c>
      <c r="J30" s="0" t="s">
        <v>62</v>
      </c>
      <c r="K30" s="0" t="s">
        <v>62</v>
      </c>
      <c r="L30" s="0" t="s">
        <v>62</v>
      </c>
      <c r="M30" s="0" t="s">
        <v>62</v>
      </c>
      <c r="N30" s="0" t="s">
        <v>62</v>
      </c>
      <c r="O30" s="0" t="s">
        <v>62</v>
      </c>
      <c r="P30" s="0" t="s">
        <v>61</v>
      </c>
      <c r="Q30" s="0" t="s">
        <v>62</v>
      </c>
      <c r="R30" s="0" t="s">
        <v>63</v>
      </c>
      <c r="S30" s="0" t="s">
        <v>98</v>
      </c>
      <c r="T30" s="0" t="s">
        <v>312</v>
      </c>
      <c r="U30" s="0" t="s">
        <v>330</v>
      </c>
      <c r="Y30" s="0" t="s">
        <v>328</v>
      </c>
      <c r="Z30" s="0" t="s">
        <v>328</v>
      </c>
      <c r="AA30" s="0" t="s">
        <v>328</v>
      </c>
      <c r="AB30" s="0" t="s">
        <v>185</v>
      </c>
      <c r="AC30" s="0" t="s">
        <v>68</v>
      </c>
      <c r="AD30" s="0" t="s">
        <v>86</v>
      </c>
      <c r="AE30" s="0" t="n">
        <v>151674</v>
      </c>
      <c r="AF30" s="0" t="s">
        <v>331</v>
      </c>
      <c r="AG30" s="0" t="n">
        <v>1</v>
      </c>
      <c r="AH30" s="0" t="n">
        <v>151674</v>
      </c>
      <c r="AI30" s="0" t="s">
        <v>331</v>
      </c>
      <c r="AJ30" s="0" t="s">
        <v>331</v>
      </c>
      <c r="AK30" s="0" t="s">
        <v>328</v>
      </c>
      <c r="AL30" s="0" t="s">
        <v>312</v>
      </c>
      <c r="AM30" s="0" t="s">
        <v>330</v>
      </c>
      <c r="AN30" s="0" t="s">
        <v>68</v>
      </c>
      <c r="AO30" s="0" t="s">
        <v>98</v>
      </c>
      <c r="AR30" s="0" t="s">
        <v>185</v>
      </c>
      <c r="AS30" s="0" t="s">
        <v>185</v>
      </c>
      <c r="AT30" s="0" t="s">
        <v>5</v>
      </c>
      <c r="AU30" s="2" t="b">
        <f aca="false">TRUE()</f>
        <v>1</v>
      </c>
      <c r="AV30" s="0" t="s">
        <v>328</v>
      </c>
      <c r="AW30" s="0" t="s">
        <v>185</v>
      </c>
      <c r="AX30" s="0" t="s">
        <v>98</v>
      </c>
      <c r="AY30" s="2" t="b">
        <f aca="false">FALSE()</f>
        <v>0</v>
      </c>
      <c r="AZ30" s="2" t="b">
        <f aca="false">FALSE()</f>
        <v>0</v>
      </c>
      <c r="BB30" s="2" t="b">
        <f aca="false">TRUE()</f>
        <v>1</v>
      </c>
      <c r="BC30" s="0" t="s">
        <v>157</v>
      </c>
      <c r="BD30" s="2" t="b">
        <f aca="false">FALSE()</f>
        <v>0</v>
      </c>
    </row>
    <row r="31" customFormat="false" ht="15" hidden="false" customHeight="false" outlineLevel="0" collapsed="false">
      <c r="A31" s="0" t="s">
        <v>332</v>
      </c>
      <c r="B31" s="0" t="s">
        <v>333</v>
      </c>
      <c r="D31" s="0" t="s">
        <v>59</v>
      </c>
      <c r="E31" s="0" t="s">
        <v>60</v>
      </c>
      <c r="F31" s="0" t="s">
        <v>60</v>
      </c>
      <c r="G31" s="0" t="s">
        <v>60</v>
      </c>
      <c r="H31" s="0" t="s">
        <v>62</v>
      </c>
      <c r="I31" s="0" t="s">
        <v>62</v>
      </c>
      <c r="J31" s="0" t="s">
        <v>62</v>
      </c>
      <c r="K31" s="0" t="s">
        <v>62</v>
      </c>
      <c r="L31" s="0" t="s">
        <v>62</v>
      </c>
      <c r="M31" s="0" t="s">
        <v>62</v>
      </c>
      <c r="N31" s="0" t="s">
        <v>62</v>
      </c>
      <c r="O31" s="0" t="s">
        <v>62</v>
      </c>
      <c r="P31" s="0" t="s">
        <v>61</v>
      </c>
      <c r="Q31" s="0" t="s">
        <v>62</v>
      </c>
      <c r="R31" s="0" t="s">
        <v>63</v>
      </c>
      <c r="S31" s="0" t="s">
        <v>98</v>
      </c>
      <c r="T31" s="0" t="s">
        <v>312</v>
      </c>
      <c r="U31" s="0" t="s">
        <v>334</v>
      </c>
      <c r="Y31" s="0" t="s">
        <v>332</v>
      </c>
      <c r="Z31" s="0" t="s">
        <v>332</v>
      </c>
      <c r="AA31" s="0" t="s">
        <v>332</v>
      </c>
      <c r="AB31" s="0" t="s">
        <v>335</v>
      </c>
      <c r="AC31" s="0" t="s">
        <v>68</v>
      </c>
      <c r="AD31" s="0" t="s">
        <v>86</v>
      </c>
      <c r="AE31" s="0" t="n">
        <v>151861</v>
      </c>
      <c r="AF31" s="0" t="s">
        <v>336</v>
      </c>
      <c r="AG31" s="0" t="n">
        <v>1</v>
      </c>
      <c r="AH31" s="0" t="n">
        <v>151861</v>
      </c>
      <c r="AI31" s="0" t="s">
        <v>336</v>
      </c>
      <c r="AJ31" s="0" t="s">
        <v>336</v>
      </c>
      <c r="AK31" s="0" t="s">
        <v>332</v>
      </c>
      <c r="AL31" s="0" t="s">
        <v>312</v>
      </c>
      <c r="AM31" s="0" t="s">
        <v>334</v>
      </c>
      <c r="AN31" s="0" t="s">
        <v>68</v>
      </c>
      <c r="AO31" s="0" t="s">
        <v>98</v>
      </c>
      <c r="AR31" s="0" t="s">
        <v>335</v>
      </c>
      <c r="AS31" s="0" t="s">
        <v>335</v>
      </c>
      <c r="AT31" s="0" t="s">
        <v>5</v>
      </c>
      <c r="AU31" s="2" t="b">
        <f aca="false">TRUE()</f>
        <v>1</v>
      </c>
      <c r="AV31" s="0" t="s">
        <v>332</v>
      </c>
      <c r="AW31" s="0" t="s">
        <v>335</v>
      </c>
      <c r="AX31" s="0" t="s">
        <v>98</v>
      </c>
      <c r="AY31" s="2" t="b">
        <f aca="false">FALSE()</f>
        <v>0</v>
      </c>
      <c r="AZ31" s="2" t="b">
        <f aca="false">FALSE()</f>
        <v>0</v>
      </c>
      <c r="BB31" s="2" t="b">
        <f aca="false">TRUE()</f>
        <v>1</v>
      </c>
      <c r="BC31" s="0" t="s">
        <v>157</v>
      </c>
      <c r="BD31" s="2" t="b">
        <f aca="false">FALSE()</f>
        <v>0</v>
      </c>
    </row>
    <row r="32" customFormat="false" ht="15" hidden="false" customHeight="false" outlineLevel="0" collapsed="false">
      <c r="A32" s="0" t="s">
        <v>337</v>
      </c>
      <c r="B32" s="0" t="s">
        <v>338</v>
      </c>
      <c r="D32" s="0" t="s">
        <v>59</v>
      </c>
      <c r="E32" s="0" t="s">
        <v>60</v>
      </c>
      <c r="F32" s="0" t="s">
        <v>60</v>
      </c>
      <c r="G32" s="0" t="s">
        <v>60</v>
      </c>
      <c r="H32" s="0" t="s">
        <v>62</v>
      </c>
      <c r="I32" s="0" t="s">
        <v>62</v>
      </c>
      <c r="J32" s="0" t="s">
        <v>62</v>
      </c>
      <c r="K32" s="0" t="s">
        <v>62</v>
      </c>
      <c r="L32" s="0" t="s">
        <v>62</v>
      </c>
      <c r="M32" s="0" t="s">
        <v>62</v>
      </c>
      <c r="N32" s="0" t="s">
        <v>62</v>
      </c>
      <c r="O32" s="0" t="s">
        <v>62</v>
      </c>
      <c r="P32" s="0" t="s">
        <v>61</v>
      </c>
      <c r="Q32" s="0" t="s">
        <v>62</v>
      </c>
      <c r="R32" s="0" t="s">
        <v>63</v>
      </c>
      <c r="S32" s="0" t="s">
        <v>98</v>
      </c>
      <c r="T32" s="0" t="s">
        <v>312</v>
      </c>
      <c r="U32" s="0" t="s">
        <v>339</v>
      </c>
      <c r="Y32" s="0" t="s">
        <v>337</v>
      </c>
      <c r="Z32" s="0" t="s">
        <v>337</v>
      </c>
      <c r="AA32" s="0" t="s">
        <v>337</v>
      </c>
      <c r="AB32" s="0" t="s">
        <v>185</v>
      </c>
      <c r="AC32" s="0" t="s">
        <v>68</v>
      </c>
      <c r="AD32" s="0" t="s">
        <v>86</v>
      </c>
      <c r="AE32" s="0" t="n">
        <v>151914</v>
      </c>
      <c r="AF32" s="0" t="s">
        <v>340</v>
      </c>
      <c r="AG32" s="0" t="n">
        <v>1</v>
      </c>
      <c r="AH32" s="0" t="n">
        <v>151914</v>
      </c>
      <c r="AI32" s="0" t="s">
        <v>340</v>
      </c>
      <c r="AJ32" s="0" t="s">
        <v>340</v>
      </c>
      <c r="AK32" s="0" t="s">
        <v>337</v>
      </c>
      <c r="AL32" s="0" t="s">
        <v>312</v>
      </c>
      <c r="AM32" s="0" t="s">
        <v>339</v>
      </c>
      <c r="AN32" s="0" t="s">
        <v>68</v>
      </c>
      <c r="AO32" s="0" t="s">
        <v>98</v>
      </c>
      <c r="AR32" s="0" t="s">
        <v>185</v>
      </c>
      <c r="AS32" s="0" t="s">
        <v>185</v>
      </c>
      <c r="AT32" s="0" t="s">
        <v>14</v>
      </c>
      <c r="AU32" s="2" t="b">
        <f aca="false">TRUE()</f>
        <v>1</v>
      </c>
      <c r="AV32" s="0" t="s">
        <v>337</v>
      </c>
      <c r="AW32" s="0" t="s">
        <v>185</v>
      </c>
      <c r="AX32" s="0" t="s">
        <v>98</v>
      </c>
      <c r="AY32" s="2" t="b">
        <f aca="false">FALSE()</f>
        <v>0</v>
      </c>
      <c r="AZ32" s="2" t="b">
        <f aca="false">FALSE()</f>
        <v>0</v>
      </c>
      <c r="BB32" s="2" t="b">
        <f aca="false">TRUE()</f>
        <v>1</v>
      </c>
      <c r="BC32" s="0" t="s">
        <v>157</v>
      </c>
      <c r="BD32" s="2" t="b">
        <f aca="false">FALSE()</f>
        <v>0</v>
      </c>
    </row>
    <row r="33" customFormat="false" ht="15" hidden="false" customHeight="false" outlineLevel="0" collapsed="false">
      <c r="A33" s="0" t="s">
        <v>341</v>
      </c>
      <c r="B33" s="0" t="s">
        <v>342</v>
      </c>
      <c r="D33" s="0" t="s">
        <v>59</v>
      </c>
      <c r="E33" s="0" t="s">
        <v>60</v>
      </c>
      <c r="F33" s="0" t="s">
        <v>61</v>
      </c>
      <c r="G33" s="0" t="s">
        <v>62</v>
      </c>
      <c r="H33" s="0" t="s">
        <v>62</v>
      </c>
      <c r="I33" s="0" t="s">
        <v>61</v>
      </c>
      <c r="J33" s="0" t="s">
        <v>62</v>
      </c>
      <c r="K33" s="0" t="s">
        <v>62</v>
      </c>
      <c r="L33" s="0" t="s">
        <v>62</v>
      </c>
      <c r="M33" s="0" t="s">
        <v>62</v>
      </c>
      <c r="N33" s="0" t="s">
        <v>62</v>
      </c>
      <c r="O33" s="0" t="s">
        <v>62</v>
      </c>
      <c r="P33" s="0" t="s">
        <v>62</v>
      </c>
      <c r="Q33" s="0" t="s">
        <v>62</v>
      </c>
      <c r="R33" s="0" t="s">
        <v>63</v>
      </c>
      <c r="S33" s="0" t="s">
        <v>98</v>
      </c>
      <c r="T33" s="0" t="s">
        <v>312</v>
      </c>
      <c r="U33" s="0" t="s">
        <v>343</v>
      </c>
      <c r="Y33" s="0" t="s">
        <v>341</v>
      </c>
      <c r="Z33" s="0" t="s">
        <v>341</v>
      </c>
      <c r="AA33" s="0" t="s">
        <v>341</v>
      </c>
      <c r="AB33" s="0" t="s">
        <v>326</v>
      </c>
      <c r="AC33" s="0" t="s">
        <v>68</v>
      </c>
      <c r="AD33" s="0" t="s">
        <v>86</v>
      </c>
      <c r="AE33" s="0" t="n">
        <v>152003</v>
      </c>
      <c r="AF33" s="0" t="s">
        <v>344</v>
      </c>
      <c r="AG33" s="0" t="n">
        <v>1</v>
      </c>
      <c r="AH33" s="0" t="n">
        <v>152003</v>
      </c>
      <c r="AI33" s="0" t="s">
        <v>344</v>
      </c>
      <c r="AJ33" s="0" t="s">
        <v>344</v>
      </c>
      <c r="AK33" s="0" t="s">
        <v>341</v>
      </c>
      <c r="AL33" s="0" t="s">
        <v>312</v>
      </c>
      <c r="AM33" s="0" t="s">
        <v>343</v>
      </c>
      <c r="AN33" s="0" t="s">
        <v>68</v>
      </c>
      <c r="AO33" s="0" t="s">
        <v>98</v>
      </c>
      <c r="AR33" s="0" t="s">
        <v>95</v>
      </c>
      <c r="AS33" s="0" t="s">
        <v>326</v>
      </c>
      <c r="AT33" s="0" t="s">
        <v>5</v>
      </c>
      <c r="AU33" s="2" t="b">
        <f aca="false">TRUE()</f>
        <v>1</v>
      </c>
      <c r="AV33" s="0" t="s">
        <v>341</v>
      </c>
      <c r="AW33" s="0" t="s">
        <v>95</v>
      </c>
      <c r="AX33" s="0" t="s">
        <v>98</v>
      </c>
      <c r="AY33" s="2" t="b">
        <f aca="false">FALSE()</f>
        <v>0</v>
      </c>
      <c r="AZ33" s="2" t="b">
        <f aca="false">FALSE()</f>
        <v>0</v>
      </c>
      <c r="BB33" s="2" t="b">
        <f aca="false">TRUE()</f>
        <v>1</v>
      </c>
      <c r="BC33" s="0" t="s">
        <v>112</v>
      </c>
      <c r="BD33" s="2" t="b">
        <f aca="false">FALSE()</f>
        <v>0</v>
      </c>
    </row>
    <row r="34" customFormat="false" ht="15" hidden="false" customHeight="false" outlineLevel="0" collapsed="false">
      <c r="A34" s="0" t="s">
        <v>345</v>
      </c>
      <c r="B34" s="0" t="s">
        <v>346</v>
      </c>
      <c r="D34" s="0" t="s">
        <v>60</v>
      </c>
      <c r="E34" s="0" t="s">
        <v>60</v>
      </c>
      <c r="F34" s="0" t="s">
        <v>60</v>
      </c>
      <c r="G34" s="0" t="s">
        <v>60</v>
      </c>
      <c r="H34" s="0" t="s">
        <v>62</v>
      </c>
      <c r="I34" s="0" t="s">
        <v>62</v>
      </c>
      <c r="J34" s="0" t="s">
        <v>62</v>
      </c>
      <c r="K34" s="0" t="s">
        <v>62</v>
      </c>
      <c r="L34" s="0" t="s">
        <v>62</v>
      </c>
      <c r="M34" s="0" t="s">
        <v>62</v>
      </c>
      <c r="N34" s="0" t="s">
        <v>62</v>
      </c>
      <c r="O34" s="0" t="s">
        <v>62</v>
      </c>
      <c r="P34" s="0" t="s">
        <v>62</v>
      </c>
      <c r="Q34" s="0" t="s">
        <v>62</v>
      </c>
      <c r="R34" s="0" t="s">
        <v>63</v>
      </c>
      <c r="S34" s="0" t="s">
        <v>60</v>
      </c>
      <c r="T34" s="0" t="s">
        <v>347</v>
      </c>
      <c r="U34" s="0" t="s">
        <v>348</v>
      </c>
      <c r="Y34" s="0" t="s">
        <v>345</v>
      </c>
      <c r="Z34" s="0" t="s">
        <v>345</v>
      </c>
      <c r="AA34" s="0" t="s">
        <v>345</v>
      </c>
      <c r="AB34" s="0" t="s">
        <v>349</v>
      </c>
      <c r="AC34" s="0" t="s">
        <v>68</v>
      </c>
      <c r="AD34" s="0" t="s">
        <v>69</v>
      </c>
      <c r="AE34" s="0" t="n">
        <v>3188532</v>
      </c>
      <c r="AF34" s="0" t="s">
        <v>350</v>
      </c>
      <c r="AG34" s="0" t="n">
        <v>1</v>
      </c>
      <c r="AH34" s="0" t="n">
        <v>3154658</v>
      </c>
      <c r="AI34" s="0" t="s">
        <v>351</v>
      </c>
      <c r="AJ34" s="0" t="s">
        <v>351</v>
      </c>
      <c r="AK34" s="0" t="s">
        <v>352</v>
      </c>
      <c r="AL34" s="0" t="s">
        <v>353</v>
      </c>
      <c r="AM34" s="0" t="s">
        <v>348</v>
      </c>
      <c r="AN34" s="0" t="s">
        <v>68</v>
      </c>
      <c r="AO34" s="0" t="s">
        <v>354</v>
      </c>
      <c r="AR34" s="0" t="s">
        <v>355</v>
      </c>
      <c r="AS34" s="0" t="s">
        <v>356</v>
      </c>
      <c r="AT34" s="0" t="s">
        <v>14</v>
      </c>
      <c r="AU34" s="2" t="b">
        <f aca="false">TRUE()</f>
        <v>1</v>
      </c>
      <c r="AV34" s="0" t="s">
        <v>352</v>
      </c>
      <c r="AW34" s="0" t="s">
        <v>355</v>
      </c>
      <c r="AX34" s="0" t="s">
        <v>354</v>
      </c>
      <c r="AY34" s="2" t="b">
        <f aca="false">TRUE()</f>
        <v>1</v>
      </c>
      <c r="AZ34" s="2" t="b">
        <f aca="false">FALSE()</f>
        <v>0</v>
      </c>
      <c r="BB34" s="2" t="b">
        <f aca="false">TRUE()</f>
        <v>1</v>
      </c>
      <c r="BC34" s="0" t="s">
        <v>99</v>
      </c>
      <c r="BD34" s="2" t="b">
        <f aca="false">FALSE()</f>
        <v>0</v>
      </c>
    </row>
    <row r="35" customFormat="false" ht="15" hidden="false" customHeight="false" outlineLevel="0" collapsed="false">
      <c r="A35" s="0" t="s">
        <v>357</v>
      </c>
      <c r="B35" s="0" t="s">
        <v>358</v>
      </c>
      <c r="D35" s="0" t="s">
        <v>60</v>
      </c>
      <c r="E35" s="0" t="s">
        <v>60</v>
      </c>
      <c r="F35" s="0" t="s">
        <v>60</v>
      </c>
      <c r="G35" s="0" t="s">
        <v>60</v>
      </c>
      <c r="H35" s="0" t="s">
        <v>62</v>
      </c>
      <c r="I35" s="0" t="s">
        <v>62</v>
      </c>
      <c r="J35" s="0" t="s">
        <v>62</v>
      </c>
      <c r="K35" s="0" t="s">
        <v>62</v>
      </c>
      <c r="L35" s="0" t="s">
        <v>62</v>
      </c>
      <c r="M35" s="0" t="s">
        <v>62</v>
      </c>
      <c r="N35" s="0" t="s">
        <v>62</v>
      </c>
      <c r="O35" s="0" t="s">
        <v>62</v>
      </c>
      <c r="P35" s="0" t="s">
        <v>62</v>
      </c>
      <c r="Q35" s="0" t="s">
        <v>62</v>
      </c>
      <c r="R35" s="0" t="s">
        <v>63</v>
      </c>
      <c r="S35" s="0" t="s">
        <v>60</v>
      </c>
      <c r="T35" s="0" t="s">
        <v>359</v>
      </c>
      <c r="U35" s="0" t="s">
        <v>360</v>
      </c>
      <c r="Y35" s="0" t="s">
        <v>357</v>
      </c>
      <c r="Z35" s="0" t="s">
        <v>357</v>
      </c>
      <c r="AA35" s="0" t="s">
        <v>357</v>
      </c>
      <c r="AB35" s="0" t="s">
        <v>361</v>
      </c>
      <c r="AC35" s="0" t="s">
        <v>68</v>
      </c>
      <c r="AD35" s="0" t="s">
        <v>362</v>
      </c>
      <c r="AE35" s="0" t="n">
        <v>2417804</v>
      </c>
      <c r="AG35" s="0" t="n">
        <v>1</v>
      </c>
      <c r="AH35" s="0" t="n">
        <v>2417784</v>
      </c>
      <c r="AI35" s="0" t="s">
        <v>363</v>
      </c>
      <c r="AJ35" s="0" t="s">
        <v>363</v>
      </c>
      <c r="AK35" s="0" t="s">
        <v>364</v>
      </c>
      <c r="AL35" s="0" t="s">
        <v>359</v>
      </c>
      <c r="AM35" s="0" t="s">
        <v>365</v>
      </c>
      <c r="AN35" s="0" t="s">
        <v>68</v>
      </c>
      <c r="AO35" s="0" t="s">
        <v>366</v>
      </c>
      <c r="AR35" s="0" t="s">
        <v>367</v>
      </c>
      <c r="AS35" s="0" t="s">
        <v>368</v>
      </c>
      <c r="AT35" s="0" t="s">
        <v>369</v>
      </c>
      <c r="AU35" s="2" t="b">
        <f aca="false">TRUE()</f>
        <v>1</v>
      </c>
      <c r="AV35" s="0" t="s">
        <v>364</v>
      </c>
      <c r="AW35" s="0" t="s">
        <v>367</v>
      </c>
      <c r="AX35" s="0" t="s">
        <v>366</v>
      </c>
      <c r="AY35" s="2" t="b">
        <f aca="false">TRUE()</f>
        <v>1</v>
      </c>
      <c r="AZ35" s="2" t="b">
        <f aca="false">FALSE()</f>
        <v>0</v>
      </c>
      <c r="BB35" s="2" t="b">
        <f aca="false">TRUE()</f>
        <v>1</v>
      </c>
      <c r="BC35" s="0" t="s">
        <v>99</v>
      </c>
      <c r="BD35" s="2" t="b">
        <f aca="false">FALSE()</f>
        <v>0</v>
      </c>
    </row>
    <row r="36" customFormat="false" ht="15" hidden="false" customHeight="false" outlineLevel="0" collapsed="false">
      <c r="A36" s="0" t="s">
        <v>370</v>
      </c>
      <c r="B36" s="0" t="s">
        <v>371</v>
      </c>
      <c r="D36" s="0" t="s">
        <v>59</v>
      </c>
      <c r="E36" s="0" t="s">
        <v>60</v>
      </c>
      <c r="F36" s="0" t="s">
        <v>60</v>
      </c>
      <c r="G36" s="0" t="s">
        <v>60</v>
      </c>
      <c r="H36" s="0" t="s">
        <v>62</v>
      </c>
      <c r="I36" s="0" t="s">
        <v>62</v>
      </c>
      <c r="J36" s="0" t="s">
        <v>62</v>
      </c>
      <c r="K36" s="0" t="s">
        <v>62</v>
      </c>
      <c r="L36" s="0" t="s">
        <v>62</v>
      </c>
      <c r="M36" s="0" t="s">
        <v>62</v>
      </c>
      <c r="N36" s="0" t="s">
        <v>62</v>
      </c>
      <c r="O36" s="0" t="s">
        <v>62</v>
      </c>
      <c r="P36" s="0" t="s">
        <v>62</v>
      </c>
      <c r="Q36" s="0" t="s">
        <v>62</v>
      </c>
      <c r="R36" s="0" t="s">
        <v>63</v>
      </c>
      <c r="S36" s="0" t="s">
        <v>366</v>
      </c>
      <c r="T36" s="0" t="s">
        <v>372</v>
      </c>
      <c r="U36" s="0" t="s">
        <v>373</v>
      </c>
      <c r="Y36" s="0" t="s">
        <v>370</v>
      </c>
      <c r="Z36" s="0" t="s">
        <v>370</v>
      </c>
      <c r="AA36" s="0" t="s">
        <v>370</v>
      </c>
      <c r="AB36" s="0" t="s">
        <v>374</v>
      </c>
      <c r="AC36" s="0" t="s">
        <v>68</v>
      </c>
      <c r="AD36" s="0" t="s">
        <v>86</v>
      </c>
      <c r="AE36" s="0" t="n">
        <v>2485900</v>
      </c>
      <c r="AF36" s="0" t="s">
        <v>375</v>
      </c>
      <c r="AG36" s="0" t="n">
        <v>1</v>
      </c>
      <c r="AH36" s="0" t="n">
        <v>2485900</v>
      </c>
      <c r="AI36" s="0" t="s">
        <v>375</v>
      </c>
      <c r="AJ36" s="0" t="s">
        <v>375</v>
      </c>
      <c r="AK36" s="0" t="s">
        <v>370</v>
      </c>
      <c r="AL36" s="0" t="s">
        <v>372</v>
      </c>
      <c r="AM36" s="0" t="s">
        <v>373</v>
      </c>
      <c r="AN36" s="0" t="s">
        <v>68</v>
      </c>
      <c r="AO36" s="0" t="s">
        <v>366</v>
      </c>
      <c r="AR36" s="0" t="s">
        <v>75</v>
      </c>
      <c r="AS36" s="0" t="s">
        <v>374</v>
      </c>
      <c r="AT36" s="0" t="s">
        <v>14</v>
      </c>
      <c r="AU36" s="2" t="b">
        <f aca="false">TRUE()</f>
        <v>1</v>
      </c>
      <c r="AV36" s="0" t="s">
        <v>370</v>
      </c>
      <c r="AW36" s="0" t="s">
        <v>75</v>
      </c>
      <c r="AX36" s="0" t="s">
        <v>366</v>
      </c>
      <c r="AY36" s="2" t="b">
        <f aca="false">FALSE()</f>
        <v>0</v>
      </c>
      <c r="AZ36" s="2" t="b">
        <f aca="false">FALSE()</f>
        <v>0</v>
      </c>
      <c r="BB36" s="2" t="b">
        <f aca="false">TRUE()</f>
        <v>1</v>
      </c>
      <c r="BC36" s="0" t="s">
        <v>99</v>
      </c>
      <c r="BD36" s="2" t="b">
        <f aca="false">FALSE()</f>
        <v>0</v>
      </c>
    </row>
    <row r="37" customFormat="false" ht="15" hidden="false" customHeight="false" outlineLevel="0" collapsed="false">
      <c r="A37" s="0" t="s">
        <v>376</v>
      </c>
      <c r="B37" s="0" t="s">
        <v>377</v>
      </c>
      <c r="D37" s="0" t="s">
        <v>59</v>
      </c>
      <c r="E37" s="0" t="s">
        <v>60</v>
      </c>
      <c r="F37" s="0" t="s">
        <v>60</v>
      </c>
      <c r="G37" s="0" t="s">
        <v>60</v>
      </c>
      <c r="H37" s="0" t="s">
        <v>62</v>
      </c>
      <c r="I37" s="0" t="s">
        <v>62</v>
      </c>
      <c r="J37" s="0" t="s">
        <v>62</v>
      </c>
      <c r="K37" s="0" t="s">
        <v>62</v>
      </c>
      <c r="L37" s="0" t="s">
        <v>62</v>
      </c>
      <c r="M37" s="0" t="s">
        <v>62</v>
      </c>
      <c r="N37" s="0" t="s">
        <v>62</v>
      </c>
      <c r="O37" s="0" t="s">
        <v>62</v>
      </c>
      <c r="P37" s="0" t="s">
        <v>61</v>
      </c>
      <c r="Q37" s="0" t="s">
        <v>62</v>
      </c>
      <c r="R37" s="0" t="s">
        <v>63</v>
      </c>
      <c r="S37" s="0" t="s">
        <v>98</v>
      </c>
      <c r="T37" s="0" t="s">
        <v>378</v>
      </c>
      <c r="U37" s="0" t="s">
        <v>379</v>
      </c>
      <c r="Y37" s="0" t="s">
        <v>376</v>
      </c>
      <c r="Z37" s="0" t="s">
        <v>376</v>
      </c>
      <c r="AA37" s="0" t="s">
        <v>376</v>
      </c>
      <c r="AB37" s="0" t="s">
        <v>95</v>
      </c>
      <c r="AC37" s="0" t="s">
        <v>68</v>
      </c>
      <c r="AD37" s="0" t="s">
        <v>86</v>
      </c>
      <c r="AE37" s="0" t="n">
        <v>199060</v>
      </c>
      <c r="AF37" s="0" t="s">
        <v>380</v>
      </c>
      <c r="AG37" s="0" t="n">
        <v>1</v>
      </c>
      <c r="AH37" s="0" t="n">
        <v>199060</v>
      </c>
      <c r="AI37" s="0" t="s">
        <v>380</v>
      </c>
      <c r="AJ37" s="0" t="s">
        <v>380</v>
      </c>
      <c r="AK37" s="0" t="s">
        <v>376</v>
      </c>
      <c r="AL37" s="0" t="s">
        <v>378</v>
      </c>
      <c r="AM37" s="0" t="s">
        <v>379</v>
      </c>
      <c r="AN37" s="0" t="s">
        <v>68</v>
      </c>
      <c r="AO37" s="0" t="s">
        <v>98</v>
      </c>
      <c r="AR37" s="0" t="s">
        <v>95</v>
      </c>
      <c r="AS37" s="0" t="s">
        <v>95</v>
      </c>
      <c r="AT37" s="0" t="s">
        <v>7</v>
      </c>
      <c r="AU37" s="2" t="b">
        <f aca="false">TRUE()</f>
        <v>1</v>
      </c>
      <c r="AV37" s="0" t="s">
        <v>376</v>
      </c>
      <c r="AW37" s="0" t="s">
        <v>95</v>
      </c>
      <c r="AX37" s="0" t="s">
        <v>98</v>
      </c>
      <c r="AY37" s="2" t="b">
        <f aca="false">FALSE()</f>
        <v>0</v>
      </c>
      <c r="AZ37" s="2" t="b">
        <f aca="false">FALSE()</f>
        <v>0</v>
      </c>
      <c r="BB37" s="2" t="b">
        <f aca="false">TRUE()</f>
        <v>1</v>
      </c>
      <c r="BC37" s="0" t="s">
        <v>157</v>
      </c>
      <c r="BD37" s="2" t="b">
        <f aca="false">FALSE()</f>
        <v>0</v>
      </c>
    </row>
    <row r="38" customFormat="false" ht="15" hidden="false" customHeight="false" outlineLevel="0" collapsed="false">
      <c r="A38" s="0" t="s">
        <v>381</v>
      </c>
      <c r="B38" s="0" t="s">
        <v>382</v>
      </c>
      <c r="C38" s="0" t="s">
        <v>383</v>
      </c>
      <c r="D38" s="0" t="s">
        <v>103</v>
      </c>
      <c r="E38" s="0" t="s">
        <v>60</v>
      </c>
      <c r="F38" s="0" t="s">
        <v>62</v>
      </c>
      <c r="G38" s="0" t="s">
        <v>61</v>
      </c>
      <c r="H38" s="0" t="s">
        <v>62</v>
      </c>
      <c r="I38" s="0" t="s">
        <v>62</v>
      </c>
      <c r="J38" s="0" t="s">
        <v>61</v>
      </c>
      <c r="K38" s="0" t="s">
        <v>62</v>
      </c>
      <c r="L38" s="0" t="s">
        <v>62</v>
      </c>
      <c r="M38" s="0" t="s">
        <v>62</v>
      </c>
      <c r="N38" s="0" t="s">
        <v>62</v>
      </c>
      <c r="O38" s="0" t="s">
        <v>62</v>
      </c>
      <c r="P38" s="0" t="s">
        <v>62</v>
      </c>
      <c r="Q38" s="0" t="s">
        <v>62</v>
      </c>
      <c r="R38" s="0" t="s">
        <v>63</v>
      </c>
      <c r="S38" s="0" t="s">
        <v>275</v>
      </c>
      <c r="T38" s="0" t="s">
        <v>384</v>
      </c>
      <c r="U38" s="0" t="s">
        <v>385</v>
      </c>
      <c r="Y38" s="0" t="s">
        <v>381</v>
      </c>
      <c r="Z38" s="0" t="s">
        <v>381</v>
      </c>
      <c r="AA38" s="0" t="s">
        <v>381</v>
      </c>
      <c r="AB38" s="0" t="s">
        <v>349</v>
      </c>
      <c r="AC38" s="0" t="s">
        <v>68</v>
      </c>
      <c r="AD38" s="0" t="s">
        <v>86</v>
      </c>
      <c r="AE38" s="0" t="n">
        <v>2449399</v>
      </c>
      <c r="AF38" s="0" t="s">
        <v>386</v>
      </c>
      <c r="AG38" s="0" t="n">
        <v>1</v>
      </c>
      <c r="AH38" s="0" t="n">
        <v>2449399</v>
      </c>
      <c r="AI38" s="0" t="s">
        <v>386</v>
      </c>
      <c r="AJ38" s="0" t="s">
        <v>386</v>
      </c>
      <c r="AK38" s="0" t="s">
        <v>381</v>
      </c>
      <c r="AL38" s="0" t="s">
        <v>384</v>
      </c>
      <c r="AM38" s="0" t="s">
        <v>385</v>
      </c>
      <c r="AN38" s="0" t="s">
        <v>68</v>
      </c>
      <c r="AO38" s="0" t="s">
        <v>275</v>
      </c>
      <c r="AR38" s="0" t="s">
        <v>349</v>
      </c>
      <c r="AS38" s="0" t="s">
        <v>349</v>
      </c>
      <c r="AT38" s="0" t="s">
        <v>224</v>
      </c>
      <c r="AU38" s="2" t="b">
        <f aca="false">TRUE()</f>
        <v>1</v>
      </c>
      <c r="AV38" s="0" t="s">
        <v>381</v>
      </c>
      <c r="AW38" s="0" t="s">
        <v>349</v>
      </c>
      <c r="AX38" s="0" t="s">
        <v>275</v>
      </c>
      <c r="AY38" s="2" t="b">
        <f aca="false">FALSE()</f>
        <v>0</v>
      </c>
      <c r="AZ38" s="2" t="b">
        <f aca="false">FALSE()</f>
        <v>0</v>
      </c>
      <c r="BB38" s="2" t="b">
        <f aca="false">TRUE()</f>
        <v>1</v>
      </c>
      <c r="BC38" s="0" t="s">
        <v>137</v>
      </c>
      <c r="BD38" s="2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7" activeCellId="0" sqref="B5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5.75"/>
    <col collapsed="false" customWidth="true" hidden="false" outlineLevel="0" max="2" min="2" style="0" width="41.45"/>
    <col collapsed="false" customWidth="true" hidden="false" outlineLevel="0" max="3" min="3" style="0" width="25.32"/>
  </cols>
  <sheetData>
    <row r="1" customFormat="false" ht="13.8" hidden="false" customHeight="false" outlineLevel="0" collapsed="false">
      <c r="A1" s="1" t="s">
        <v>387</v>
      </c>
    </row>
    <row r="2" customFormat="false" ht="13.8" hidden="false" customHeight="false" outlineLevel="0" collapsed="false">
      <c r="A2" s="3" t="s">
        <v>0</v>
      </c>
      <c r="C2" s="0" t="s">
        <v>388</v>
      </c>
    </row>
    <row r="3" customFormat="false" ht="13.8" hidden="false" customHeight="false" outlineLevel="0" collapsed="false">
      <c r="A3" s="3" t="s">
        <v>1</v>
      </c>
      <c r="C3" s="0" t="s">
        <v>388</v>
      </c>
    </row>
    <row r="4" customFormat="false" ht="13.8" hidden="false" customHeight="false" outlineLevel="0" collapsed="false">
      <c r="A4" s="3" t="s">
        <v>2</v>
      </c>
      <c r="C4" s="0" t="s">
        <v>388</v>
      </c>
    </row>
    <row r="5" customFormat="false" ht="13.8" hidden="false" customHeight="false" outlineLevel="0" collapsed="false">
      <c r="A5" s="3" t="s">
        <v>3</v>
      </c>
      <c r="C5" s="0" t="s">
        <v>388</v>
      </c>
    </row>
    <row r="6" customFormat="false" ht="13.8" hidden="false" customHeight="false" outlineLevel="0" collapsed="false">
      <c r="A6" s="3" t="s">
        <v>4</v>
      </c>
      <c r="C6" s="0" t="s">
        <v>388</v>
      </c>
    </row>
    <row r="7" customFormat="false" ht="13.8" hidden="false" customHeight="false" outlineLevel="0" collapsed="false">
      <c r="A7" s="3" t="s">
        <v>5</v>
      </c>
      <c r="C7" s="0" t="s">
        <v>388</v>
      </c>
    </row>
    <row r="8" customFormat="false" ht="13.8" hidden="false" customHeight="false" outlineLevel="0" collapsed="false">
      <c r="A8" s="3" t="s">
        <v>6</v>
      </c>
      <c r="C8" s="0" t="s">
        <v>388</v>
      </c>
    </row>
    <row r="9" customFormat="false" ht="13.8" hidden="false" customHeight="false" outlineLevel="0" collapsed="false">
      <c r="A9" s="3" t="s">
        <v>7</v>
      </c>
      <c r="C9" s="0" t="s">
        <v>388</v>
      </c>
    </row>
    <row r="10" customFormat="false" ht="13.8" hidden="false" customHeight="false" outlineLevel="0" collapsed="false">
      <c r="A10" s="3" t="s">
        <v>8</v>
      </c>
      <c r="C10" s="0" t="s">
        <v>388</v>
      </c>
    </row>
    <row r="11" customFormat="false" ht="13.8" hidden="false" customHeight="false" outlineLevel="0" collapsed="false">
      <c r="A11" s="3" t="s">
        <v>9</v>
      </c>
      <c r="C11" s="0" t="s">
        <v>388</v>
      </c>
    </row>
    <row r="12" customFormat="false" ht="13.8" hidden="false" customHeight="false" outlineLevel="0" collapsed="false">
      <c r="A12" s="3" t="s">
        <v>10</v>
      </c>
      <c r="C12" s="0" t="s">
        <v>388</v>
      </c>
    </row>
    <row r="13" customFormat="false" ht="13.8" hidden="false" customHeight="false" outlineLevel="0" collapsed="false">
      <c r="A13" s="3" t="s">
        <v>11</v>
      </c>
      <c r="C13" s="0" t="s">
        <v>388</v>
      </c>
    </row>
    <row r="14" customFormat="false" ht="13.8" hidden="false" customHeight="false" outlineLevel="0" collapsed="false">
      <c r="A14" s="3" t="s">
        <v>12</v>
      </c>
      <c r="C14" s="0" t="s">
        <v>388</v>
      </c>
    </row>
    <row r="15" customFormat="false" ht="13.8" hidden="false" customHeight="false" outlineLevel="0" collapsed="false">
      <c r="A15" s="3" t="s">
        <v>13</v>
      </c>
      <c r="C15" s="0" t="s">
        <v>388</v>
      </c>
    </row>
    <row r="16" customFormat="false" ht="13.8" hidden="false" customHeight="false" outlineLevel="0" collapsed="false">
      <c r="A16" s="3" t="s">
        <v>14</v>
      </c>
      <c r="C16" s="0" t="s">
        <v>388</v>
      </c>
    </row>
    <row r="17" customFormat="false" ht="13.8" hidden="false" customHeight="false" outlineLevel="0" collapsed="false">
      <c r="A17" s="3" t="s">
        <v>15</v>
      </c>
      <c r="C17" s="0" t="s">
        <v>388</v>
      </c>
    </row>
    <row r="18" customFormat="false" ht="13.8" hidden="false" customHeight="false" outlineLevel="0" collapsed="false">
      <c r="A18" s="3" t="s">
        <v>16</v>
      </c>
      <c r="C18" s="0" t="s">
        <v>388</v>
      </c>
    </row>
    <row r="19" customFormat="false" ht="13.8" hidden="false" customHeight="false" outlineLevel="0" collapsed="false">
      <c r="A19" s="3" t="s">
        <v>17</v>
      </c>
      <c r="C19" s="0" t="s">
        <v>388</v>
      </c>
    </row>
    <row r="20" customFormat="false" ht="13.8" hidden="false" customHeight="false" outlineLevel="0" collapsed="false">
      <c r="A20" s="3" t="s">
        <v>18</v>
      </c>
      <c r="C20" s="0" t="s">
        <v>388</v>
      </c>
    </row>
    <row r="21" customFormat="false" ht="13.8" hidden="false" customHeight="false" outlineLevel="0" collapsed="false">
      <c r="A21" s="3" t="s">
        <v>19</v>
      </c>
      <c r="C21" s="0" t="s">
        <v>388</v>
      </c>
    </row>
    <row r="22" customFormat="false" ht="13.8" hidden="false" customHeight="false" outlineLevel="0" collapsed="false">
      <c r="A22" s="3" t="s">
        <v>20</v>
      </c>
      <c r="C22" s="0" t="s">
        <v>388</v>
      </c>
    </row>
    <row r="23" customFormat="false" ht="13.8" hidden="false" customHeight="false" outlineLevel="0" collapsed="false">
      <c r="A23" s="3" t="s">
        <v>21</v>
      </c>
      <c r="C23" s="0" t="s">
        <v>388</v>
      </c>
    </row>
    <row r="24" customFormat="false" ht="13.8" hidden="false" customHeight="false" outlineLevel="0" collapsed="false">
      <c r="A24" s="3" t="s">
        <v>22</v>
      </c>
      <c r="C24" s="0" t="s">
        <v>388</v>
      </c>
    </row>
    <row r="25" customFormat="false" ht="13.8" hidden="false" customHeight="false" outlineLevel="0" collapsed="false">
      <c r="A25" s="3" t="s">
        <v>23</v>
      </c>
      <c r="C25" s="0" t="s">
        <v>388</v>
      </c>
    </row>
    <row r="26" customFormat="false" ht="13.8" hidden="false" customHeight="false" outlineLevel="0" collapsed="false">
      <c r="A26" s="3" t="s">
        <v>24</v>
      </c>
      <c r="C26" s="0" t="s">
        <v>388</v>
      </c>
    </row>
    <row r="27" customFormat="false" ht="13.8" hidden="false" customHeight="false" outlineLevel="0" collapsed="false">
      <c r="A27" s="3" t="s">
        <v>25</v>
      </c>
      <c r="C27" s="0" t="s">
        <v>388</v>
      </c>
    </row>
    <row r="28" customFormat="false" ht="13.8" hidden="false" customHeight="false" outlineLevel="0" collapsed="false">
      <c r="A28" s="3" t="s">
        <v>26</v>
      </c>
      <c r="C28" s="0" t="s">
        <v>389</v>
      </c>
    </row>
    <row r="29" customFormat="false" ht="13.8" hidden="false" customHeight="false" outlineLevel="0" collapsed="false">
      <c r="A29" s="3" t="s">
        <v>27</v>
      </c>
      <c r="C29" s="0" t="s">
        <v>389</v>
      </c>
    </row>
    <row r="30" customFormat="false" ht="13.8" hidden="false" customHeight="false" outlineLevel="0" collapsed="false">
      <c r="A30" s="3" t="s">
        <v>28</v>
      </c>
      <c r="C30" s="0" t="s">
        <v>389</v>
      </c>
    </row>
    <row r="31" customFormat="false" ht="13.8" hidden="false" customHeight="false" outlineLevel="0" collapsed="false">
      <c r="A31" s="3" t="s">
        <v>29</v>
      </c>
      <c r="C31" s="0" t="s">
        <v>389</v>
      </c>
    </row>
    <row r="32" customFormat="false" ht="13.8" hidden="false" customHeight="false" outlineLevel="0" collapsed="false">
      <c r="A32" s="3" t="s">
        <v>30</v>
      </c>
      <c r="C32" s="0" t="s">
        <v>389</v>
      </c>
    </row>
    <row r="33" customFormat="false" ht="13.8" hidden="false" customHeight="false" outlineLevel="0" collapsed="false">
      <c r="A33" s="3" t="s">
        <v>31</v>
      </c>
      <c r="C33" s="0" t="s">
        <v>389</v>
      </c>
    </row>
    <row r="34" customFormat="false" ht="13.8" hidden="false" customHeight="false" outlineLevel="0" collapsed="false">
      <c r="A34" s="3" t="s">
        <v>32</v>
      </c>
      <c r="C34" s="0" t="s">
        <v>389</v>
      </c>
    </row>
    <row r="35" customFormat="false" ht="13.8" hidden="false" customHeight="false" outlineLevel="0" collapsed="false">
      <c r="A35" s="3" t="s">
        <v>33</v>
      </c>
      <c r="C35" s="0" t="s">
        <v>389</v>
      </c>
    </row>
    <row r="36" customFormat="false" ht="13.8" hidden="false" customHeight="false" outlineLevel="0" collapsed="false">
      <c r="A36" s="3" t="s">
        <v>34</v>
      </c>
      <c r="C36" s="0" t="s">
        <v>389</v>
      </c>
    </row>
    <row r="37" customFormat="false" ht="13.8" hidden="false" customHeight="false" outlineLevel="0" collapsed="false">
      <c r="A37" s="3" t="s">
        <v>35</v>
      </c>
      <c r="C37" s="0" t="s">
        <v>389</v>
      </c>
    </row>
    <row r="38" customFormat="false" ht="13.8" hidden="false" customHeight="false" outlineLevel="0" collapsed="false">
      <c r="A38" s="3" t="s">
        <v>36</v>
      </c>
      <c r="C38" s="0" t="s">
        <v>389</v>
      </c>
    </row>
    <row r="39" customFormat="false" ht="13.8" hidden="false" customHeight="false" outlineLevel="0" collapsed="false">
      <c r="A39" s="3" t="s">
        <v>37</v>
      </c>
      <c r="C39" s="0" t="s">
        <v>389</v>
      </c>
    </row>
    <row r="40" customFormat="false" ht="13.8" hidden="false" customHeight="false" outlineLevel="0" collapsed="false">
      <c r="A40" s="3" t="s">
        <v>38</v>
      </c>
      <c r="C40" s="0" t="s">
        <v>389</v>
      </c>
    </row>
    <row r="41" customFormat="false" ht="13.8" hidden="false" customHeight="false" outlineLevel="0" collapsed="false">
      <c r="A41" s="3" t="s">
        <v>39</v>
      </c>
      <c r="C41" s="0" t="s">
        <v>389</v>
      </c>
    </row>
    <row r="42" customFormat="false" ht="13.8" hidden="false" customHeight="false" outlineLevel="0" collapsed="false">
      <c r="A42" s="3" t="s">
        <v>40</v>
      </c>
      <c r="C42" s="0" t="s">
        <v>389</v>
      </c>
    </row>
    <row r="43" customFormat="false" ht="13.8" hidden="false" customHeight="false" outlineLevel="0" collapsed="false">
      <c r="A43" s="3" t="s">
        <v>41</v>
      </c>
      <c r="C43" s="0" t="s">
        <v>389</v>
      </c>
    </row>
    <row r="44" customFormat="false" ht="13.8" hidden="false" customHeight="false" outlineLevel="0" collapsed="false">
      <c r="A44" s="3" t="s">
        <v>42</v>
      </c>
      <c r="C44" s="0" t="s">
        <v>389</v>
      </c>
    </row>
    <row r="45" customFormat="false" ht="13.8" hidden="false" customHeight="false" outlineLevel="0" collapsed="false">
      <c r="A45" s="3" t="s">
        <v>43</v>
      </c>
      <c r="C45" s="0" t="s">
        <v>389</v>
      </c>
    </row>
    <row r="46" customFormat="false" ht="13.8" hidden="false" customHeight="false" outlineLevel="0" collapsed="false">
      <c r="A46" s="3" t="s">
        <v>44</v>
      </c>
      <c r="C46" s="0" t="s">
        <v>389</v>
      </c>
    </row>
    <row r="47" customFormat="false" ht="13.8" hidden="false" customHeight="false" outlineLevel="0" collapsed="false">
      <c r="A47" s="3" t="s">
        <v>45</v>
      </c>
      <c r="C47" s="0" t="s">
        <v>389</v>
      </c>
    </row>
    <row r="48" customFormat="false" ht="13.8" hidden="false" customHeight="false" outlineLevel="0" collapsed="false">
      <c r="A48" s="3" t="s">
        <v>46</v>
      </c>
      <c r="C48" s="0" t="s">
        <v>389</v>
      </c>
    </row>
    <row r="49" customFormat="false" ht="13.8" hidden="false" customHeight="false" outlineLevel="0" collapsed="false">
      <c r="A49" s="3" t="s">
        <v>47</v>
      </c>
      <c r="C49" s="0" t="s">
        <v>389</v>
      </c>
    </row>
    <row r="50" customFormat="false" ht="13.8" hidden="false" customHeight="false" outlineLevel="0" collapsed="false">
      <c r="A50" s="3" t="s">
        <v>48</v>
      </c>
      <c r="C50" s="0" t="s">
        <v>389</v>
      </c>
    </row>
    <row r="51" customFormat="false" ht="13.8" hidden="false" customHeight="false" outlineLevel="0" collapsed="false">
      <c r="A51" s="3" t="s">
        <v>49</v>
      </c>
      <c r="C51" s="0" t="s">
        <v>389</v>
      </c>
    </row>
    <row r="52" customFormat="false" ht="13.8" hidden="false" customHeight="false" outlineLevel="0" collapsed="false">
      <c r="A52" s="3" t="s">
        <v>50</v>
      </c>
      <c r="C52" s="0" t="s">
        <v>389</v>
      </c>
    </row>
    <row r="53" customFormat="false" ht="13.8" hidden="false" customHeight="false" outlineLevel="0" collapsed="false">
      <c r="A53" s="3" t="s">
        <v>51</v>
      </c>
    </row>
    <row r="54" customFormat="false" ht="13.8" hidden="false" customHeight="false" outlineLevel="0" collapsed="false">
      <c r="A54" s="3" t="s">
        <v>52</v>
      </c>
    </row>
    <row r="55" customFormat="false" ht="13.8" hidden="false" customHeight="false" outlineLevel="0" collapsed="false">
      <c r="A55" s="3" t="s">
        <v>53</v>
      </c>
      <c r="B55" s="0" t="s">
        <v>390</v>
      </c>
    </row>
    <row r="56" customFormat="false" ht="13.8" hidden="false" customHeight="false" outlineLevel="0" collapsed="false">
      <c r="A56" s="3" t="s">
        <v>54</v>
      </c>
      <c r="B56" s="0" t="s">
        <v>391</v>
      </c>
    </row>
    <row r="57" customFormat="false" ht="13.8" hidden="false" customHeight="false" outlineLevel="0" collapsed="false">
      <c r="A57" s="3" t="s">
        <v>55</v>
      </c>
      <c r="B57" s="0" t="s">
        <v>392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2026-03-25T18:37:36Z</dcterms:created>
  <dc:creator/>
  <dc:description/>
  <dc:language>es-ES</dc:language>
  <cp:lastModifiedBy/>
  <dcterms:modified xsi:type="dcterms:W3CDTF">2026-03-25T13:43:38Z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